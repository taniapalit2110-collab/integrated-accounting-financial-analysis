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Journal Entries" sheetId="2" state="visible" r:id="rId2"/>
    <sheet xmlns:r="http://schemas.openxmlformats.org/officeDocument/2006/relationships" name="General Ledger" sheetId="3" state="visible" r:id="rId3"/>
    <sheet xmlns:r="http://schemas.openxmlformats.org/officeDocument/2006/relationships" name="Trial Balance" sheetId="4" state="visible" r:id="rId4"/>
    <sheet xmlns:r="http://schemas.openxmlformats.org/officeDocument/2006/relationships" name="Month-End Close" sheetId="5" state="visible" r:id="rId5"/>
    <sheet xmlns:r="http://schemas.openxmlformats.org/officeDocument/2006/relationships" name="R2R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-₹#,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FFFFFF"/>
    </font>
    <font>
      <b val="1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2RCOA" displayName="R2RCOA" ref="A5:D16" headerRowCount="1">
  <autoFilter ref="A5:D16"/>
  <tableColumns count="4">
    <tableColumn id="1" name="Account Code"/>
    <tableColumn id="2" name="Account Name"/>
    <tableColumn id="3" name="Account Type"/>
    <tableColumn id="4" name="Normal Bala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2RJournal" displayName="R2RJournal" ref="A5:G11" headerRowCount="1">
  <autoFilter ref="A5:G11"/>
  <tableColumns count="7">
    <tableColumn id="1" name="JE No."/>
    <tableColumn id="2" name="Date"/>
    <tableColumn id="3" name="Account Code"/>
    <tableColumn id="4" name="Account Name"/>
    <tableColumn id="5" name="Debit"/>
    <tableColumn id="6" name="Credit"/>
    <tableColumn id="7" name="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2RGL" displayName="R2RGL" ref="A5:F16" headerRowCount="1">
  <autoFilter ref="A5:F16"/>
  <tableColumns count="6">
    <tableColumn id="1" name="Account Code"/>
    <tableColumn id="2" name="Account Name"/>
    <tableColumn id="3" name="Opening Balance"/>
    <tableColumn id="4" name="Debit"/>
    <tableColumn id="5" name="Credit"/>
    <tableColumn id="6" name="Closing Balanc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2RTB" displayName="R2RTB" ref="A5:D16" headerRowCount="1">
  <autoFilter ref="A5:D16"/>
  <tableColumns count="4">
    <tableColumn id="1" name="Account Code"/>
    <tableColumn id="2" name="Account Name"/>
    <tableColumn id="3" name="Debit"/>
    <tableColumn id="4" name="Credi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2RClose" displayName="R2RClose" ref="A5:D14" headerRowCount="1">
  <autoFilter ref="A5:D14"/>
  <tableColumns count="4">
    <tableColumn id="1" name="Close Step"/>
    <tableColumn id="2" name="Owner"/>
    <tableColumn id="3" name="Status"/>
    <tableColumn id="4" name="Evidence / Comm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6" customWidth="1" min="4" max="4"/>
  </cols>
  <sheetData>
    <row r="1">
      <c r="A1" s="1" t="inlineStr">
        <is>
          <t>ABC Trading Pvt. Ltd.</t>
        </is>
      </c>
    </row>
    <row r="2">
      <c r="A2" s="2" t="inlineStr">
        <is>
          <t>Record-to-Report (R2R) Portfolio</t>
        </is>
      </c>
    </row>
    <row r="3">
      <c r="A3" s="3" t="inlineStr">
        <is>
          <t>Journal entry, general ledger, trial balance and month-end close workflow</t>
        </is>
      </c>
    </row>
    <row r="4"/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Normal Balance</t>
        </is>
      </c>
    </row>
    <row r="6">
      <c r="A6" s="4" t="inlineStr">
        <is>
          <t>1000</t>
        </is>
      </c>
      <c r="B6" s="4" t="inlineStr">
        <is>
          <t>Cash &amp; Bank</t>
        </is>
      </c>
      <c r="C6" s="4" t="inlineStr">
        <is>
          <t>Asset</t>
        </is>
      </c>
      <c r="D6" s="4" t="inlineStr">
        <is>
          <t>Debit</t>
        </is>
      </c>
    </row>
    <row r="7">
      <c r="A7" s="4" t="inlineStr">
        <is>
          <t>1100</t>
        </is>
      </c>
      <c r="B7" s="4" t="inlineStr">
        <is>
          <t>Accounts Receivable</t>
        </is>
      </c>
      <c r="C7" s="4" t="inlineStr">
        <is>
          <t>Asset</t>
        </is>
      </c>
      <c r="D7" s="4" t="inlineStr">
        <is>
          <t>Debit</t>
        </is>
      </c>
    </row>
    <row r="8">
      <c r="A8" s="4" t="inlineStr">
        <is>
          <t>1200</t>
        </is>
      </c>
      <c r="B8" s="4" t="inlineStr">
        <is>
          <t>Inventory</t>
        </is>
      </c>
      <c r="C8" s="4" t="inlineStr">
        <is>
          <t>Asset</t>
        </is>
      </c>
      <c r="D8" s="4" t="inlineStr">
        <is>
          <t>Debit</t>
        </is>
      </c>
    </row>
    <row r="9">
      <c r="A9" s="4" t="inlineStr">
        <is>
          <t>1500</t>
        </is>
      </c>
      <c r="B9" s="4" t="inlineStr">
        <is>
          <t>Fixed Assets</t>
        </is>
      </c>
      <c r="C9" s="4" t="inlineStr">
        <is>
          <t>Asset</t>
        </is>
      </c>
      <c r="D9" s="4" t="inlineStr">
        <is>
          <t>Debit</t>
        </is>
      </c>
    </row>
    <row r="10">
      <c r="A10" s="4" t="inlineStr">
        <is>
          <t>2000</t>
        </is>
      </c>
      <c r="B10" s="4" t="inlineStr">
        <is>
          <t>Accounts Payable</t>
        </is>
      </c>
      <c r="C10" s="4" t="inlineStr">
        <is>
          <t>Liability</t>
        </is>
      </c>
      <c r="D10" s="4" t="inlineStr">
        <is>
          <t>Credit</t>
        </is>
      </c>
    </row>
    <row r="11">
      <c r="A11" s="4" t="inlineStr">
        <is>
          <t>2100</t>
        </is>
      </c>
      <c r="B11" s="4" t="inlineStr">
        <is>
          <t>Accrued Expenses</t>
        </is>
      </c>
      <c r="C11" s="4" t="inlineStr">
        <is>
          <t>Liability</t>
        </is>
      </c>
      <c r="D11" s="4" t="inlineStr">
        <is>
          <t>Credit</t>
        </is>
      </c>
    </row>
    <row r="12">
      <c r="A12" s="4" t="inlineStr">
        <is>
          <t>3000</t>
        </is>
      </c>
      <c r="B12" s="4" t="inlineStr">
        <is>
          <t>Equity</t>
        </is>
      </c>
      <c r="C12" s="4" t="inlineStr">
        <is>
          <t>Equity</t>
        </is>
      </c>
      <c r="D12" s="4" t="inlineStr">
        <is>
          <t>Credit</t>
        </is>
      </c>
    </row>
    <row r="13">
      <c r="A13" s="4" t="inlineStr">
        <is>
          <t>4000</t>
        </is>
      </c>
      <c r="B13" s="4" t="inlineStr">
        <is>
          <t>Sales Revenue</t>
        </is>
      </c>
      <c r="C13" s="4" t="inlineStr">
        <is>
          <t>Revenue</t>
        </is>
      </c>
      <c r="D13" s="4" t="inlineStr">
        <is>
          <t>Credit</t>
        </is>
      </c>
    </row>
    <row r="14">
      <c r="A14" s="4" t="inlineStr">
        <is>
          <t>5000</t>
        </is>
      </c>
      <c r="B14" s="4" t="inlineStr">
        <is>
          <t>Cost of Goods Sold</t>
        </is>
      </c>
      <c r="C14" s="4" t="inlineStr">
        <is>
          <t>Expense</t>
        </is>
      </c>
      <c r="D14" s="4" t="inlineStr">
        <is>
          <t>Debit</t>
        </is>
      </c>
    </row>
    <row r="15">
      <c r="A15" s="4" t="inlineStr">
        <is>
          <t>6000</t>
        </is>
      </c>
      <c r="B15" s="4" t="inlineStr">
        <is>
          <t>Operating Expenses</t>
        </is>
      </c>
      <c r="C15" s="4" t="inlineStr">
        <is>
          <t>Expense</t>
        </is>
      </c>
      <c r="D15" s="4" t="inlineStr">
        <is>
          <t>Debit</t>
        </is>
      </c>
    </row>
    <row r="16">
      <c r="A16" s="4" t="inlineStr">
        <is>
          <t>6100</t>
        </is>
      </c>
      <c r="B16" s="4" t="inlineStr">
        <is>
          <t>Depreciation Expense</t>
        </is>
      </c>
      <c r="C16" s="4" t="inlineStr">
        <is>
          <t>Expense</t>
        </is>
      </c>
      <c r="D16" s="4" t="inlineStr">
        <is>
          <t>Debit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28" customWidth="1" min="7" max="7"/>
  </cols>
  <sheetData>
    <row r="1">
      <c r="A1" s="1" t="inlineStr">
        <is>
          <t>ABC Trading Pvt. Ltd.</t>
        </is>
      </c>
    </row>
    <row r="2">
      <c r="A2" s="2" t="inlineStr">
        <is>
          <t>Journal Entries</t>
        </is>
      </c>
    </row>
    <row r="3"/>
    <row r="4"/>
    <row r="5">
      <c r="A5" s="4" t="inlineStr">
        <is>
          <t>JE No.</t>
        </is>
      </c>
      <c r="B5" s="4" t="inlineStr">
        <is>
          <t>Date</t>
        </is>
      </c>
      <c r="C5" s="4" t="inlineStr">
        <is>
          <t>Account Code</t>
        </is>
      </c>
      <c r="D5" s="4" t="inlineStr">
        <is>
          <t>Account Name</t>
        </is>
      </c>
      <c r="E5" s="4" t="inlineStr">
        <is>
          <t>Debit</t>
        </is>
      </c>
      <c r="F5" s="4" t="inlineStr">
        <is>
          <t>Credit</t>
        </is>
      </c>
      <c r="G5" s="4" t="inlineStr">
        <is>
          <t>Description</t>
        </is>
      </c>
    </row>
    <row r="6">
      <c r="A6" s="4" t="inlineStr">
        <is>
          <t>JE-001</t>
        </is>
      </c>
      <c r="B6" s="4" t="inlineStr">
        <is>
          <t>2026-03-31</t>
        </is>
      </c>
      <c r="C6" s="4" t="inlineStr">
        <is>
          <t>5000</t>
        </is>
      </c>
      <c r="D6" s="4" t="inlineStr">
        <is>
          <t>Cost of Goods Sold</t>
        </is>
      </c>
      <c r="E6" s="5" t="n">
        <v>40000</v>
      </c>
      <c r="F6" s="5" t="n">
        <v>0</v>
      </c>
      <c r="G6" s="4" t="inlineStr">
        <is>
          <t>Month-end COGS recognition</t>
        </is>
      </c>
    </row>
    <row r="7">
      <c r="A7" s="4" t="inlineStr">
        <is>
          <t>JE-001</t>
        </is>
      </c>
      <c r="B7" s="4" t="inlineStr">
        <is>
          <t>2026-03-31</t>
        </is>
      </c>
      <c r="C7" s="4" t="inlineStr">
        <is>
          <t>1200</t>
        </is>
      </c>
      <c r="D7" s="4" t="inlineStr">
        <is>
          <t>Inventory</t>
        </is>
      </c>
      <c r="E7" s="5" t="n">
        <v>0</v>
      </c>
      <c r="F7" s="5" t="n">
        <v>40000</v>
      </c>
      <c r="G7" s="4" t="inlineStr">
        <is>
          <t>Month-end COGS recognition</t>
        </is>
      </c>
    </row>
    <row r="8">
      <c r="A8" s="4" t="inlineStr">
        <is>
          <t>JE-002</t>
        </is>
      </c>
      <c r="B8" s="4" t="inlineStr">
        <is>
          <t>2026-03-31</t>
        </is>
      </c>
      <c r="C8" s="4" t="inlineStr">
        <is>
          <t>6100</t>
        </is>
      </c>
      <c r="D8" s="4" t="inlineStr">
        <is>
          <t>Depreciation Expense</t>
        </is>
      </c>
      <c r="E8" s="5" t="n">
        <v>5000</v>
      </c>
      <c r="F8" s="5" t="n">
        <v>0</v>
      </c>
      <c r="G8" s="4" t="inlineStr">
        <is>
          <t>Monthly depreciation</t>
        </is>
      </c>
    </row>
    <row r="9">
      <c r="A9" s="4" t="inlineStr">
        <is>
          <t>JE-002</t>
        </is>
      </c>
      <c r="B9" s="4" t="inlineStr">
        <is>
          <t>2026-03-31</t>
        </is>
      </c>
      <c r="C9" s="4" t="inlineStr">
        <is>
          <t>1500</t>
        </is>
      </c>
      <c r="D9" s="4" t="inlineStr">
        <is>
          <t>Fixed Assets</t>
        </is>
      </c>
      <c r="E9" s="5" t="n">
        <v>0</v>
      </c>
      <c r="F9" s="5" t="n">
        <v>5000</v>
      </c>
      <c r="G9" s="4" t="inlineStr">
        <is>
          <t>Monthly depreciation</t>
        </is>
      </c>
    </row>
    <row r="10">
      <c r="A10" s="4" t="inlineStr">
        <is>
          <t>JE-003</t>
        </is>
      </c>
      <c r="B10" s="4" t="inlineStr">
        <is>
          <t>2026-03-31</t>
        </is>
      </c>
      <c r="C10" s="4" t="inlineStr">
        <is>
          <t>6000</t>
        </is>
      </c>
      <c r="D10" s="4" t="inlineStr">
        <is>
          <t>Operating Expenses</t>
        </is>
      </c>
      <c r="E10" s="5" t="n">
        <v>10000</v>
      </c>
      <c r="F10" s="5" t="n">
        <v>0</v>
      </c>
      <c r="G10" s="4" t="inlineStr">
        <is>
          <t>Accrued operating expenses</t>
        </is>
      </c>
    </row>
    <row r="11">
      <c r="A11" s="4" t="inlineStr">
        <is>
          <t>JE-003</t>
        </is>
      </c>
      <c r="B11" s="4" t="inlineStr">
        <is>
          <t>2026-03-31</t>
        </is>
      </c>
      <c r="C11" s="4" t="inlineStr">
        <is>
          <t>2100</t>
        </is>
      </c>
      <c r="D11" s="4" t="inlineStr">
        <is>
          <t>Accrued Expenses</t>
        </is>
      </c>
      <c r="E11" s="5" t="n">
        <v>0</v>
      </c>
      <c r="F11" s="5" t="n">
        <v>10000</v>
      </c>
      <c r="G11" s="4" t="inlineStr">
        <is>
          <t>Accrued operating expenses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7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ABC Trading Pvt. Ltd.</t>
        </is>
      </c>
    </row>
    <row r="2">
      <c r="A2" s="2" t="inlineStr">
        <is>
          <t>General Ledger</t>
        </is>
      </c>
    </row>
    <row r="3"/>
    <row r="4"/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Opening Balance</t>
        </is>
      </c>
      <c r="D5" s="4" t="inlineStr">
        <is>
          <t>Debit</t>
        </is>
      </c>
      <c r="E5" s="4" t="inlineStr">
        <is>
          <t>Credit</t>
        </is>
      </c>
      <c r="F5" s="4" t="inlineStr">
        <is>
          <t>Closing Balance</t>
        </is>
      </c>
    </row>
    <row r="6">
      <c r="A6" s="4" t="inlineStr">
        <is>
          <t>1000</t>
        </is>
      </c>
      <c r="B6" s="4" t="inlineStr">
        <is>
          <t>Cash &amp; Bank</t>
        </is>
      </c>
      <c r="C6" s="5" t="n">
        <v>450000</v>
      </c>
      <c r="D6" s="5" t="n">
        <v>0</v>
      </c>
      <c r="E6" s="5" t="n">
        <v>0</v>
      </c>
      <c r="F6" s="5">
        <f>C6+D6-E6</f>
        <v/>
      </c>
    </row>
    <row r="7">
      <c r="A7" s="4" t="inlineStr">
        <is>
          <t>1100</t>
        </is>
      </c>
      <c r="B7" s="4" t="inlineStr">
        <is>
          <t>Accounts Receivable</t>
        </is>
      </c>
      <c r="C7" s="5" t="n">
        <v>60000</v>
      </c>
      <c r="D7" s="5" t="n">
        <v>0</v>
      </c>
      <c r="E7" s="5" t="n">
        <v>0</v>
      </c>
      <c r="F7" s="5">
        <f>C7+D7-E7</f>
        <v/>
      </c>
    </row>
    <row r="8">
      <c r="A8" s="4" t="inlineStr">
        <is>
          <t>1200</t>
        </is>
      </c>
      <c r="B8" s="4" t="inlineStr">
        <is>
          <t>Inventory</t>
        </is>
      </c>
      <c r="C8" s="5" t="n">
        <v>140000</v>
      </c>
      <c r="D8" s="5" t="n">
        <v>0</v>
      </c>
      <c r="E8" s="5" t="n">
        <v>40000</v>
      </c>
      <c r="F8" s="5">
        <f>C8+D8-E8</f>
        <v/>
      </c>
    </row>
    <row r="9">
      <c r="A9" s="4" t="inlineStr">
        <is>
          <t>1500</t>
        </is>
      </c>
      <c r="B9" s="4" t="inlineStr">
        <is>
          <t>Fixed Assets</t>
        </is>
      </c>
      <c r="C9" s="5" t="n">
        <v>100000</v>
      </c>
      <c r="D9" s="5" t="n">
        <v>0</v>
      </c>
      <c r="E9" s="5" t="n">
        <v>5000</v>
      </c>
      <c r="F9" s="5">
        <f>C9+D9-E9</f>
        <v/>
      </c>
    </row>
    <row r="10">
      <c r="A10" s="4" t="inlineStr">
        <is>
          <t>2000</t>
        </is>
      </c>
      <c r="B10" s="4" t="inlineStr">
        <is>
          <t>Accounts Payable</t>
        </is>
      </c>
      <c r="C10" s="5" t="n">
        <v>90000</v>
      </c>
      <c r="D10" s="5" t="n">
        <v>0</v>
      </c>
      <c r="E10" s="5" t="n">
        <v>0</v>
      </c>
      <c r="F10" s="5">
        <f>C10+D10-E10</f>
        <v/>
      </c>
    </row>
    <row r="11">
      <c r="A11" s="4" t="inlineStr">
        <is>
          <t>2100</t>
        </is>
      </c>
      <c r="B11" s="4" t="inlineStr">
        <is>
          <t>Accrued Expenses</t>
        </is>
      </c>
      <c r="C11" s="5" t="n">
        <v>0</v>
      </c>
      <c r="D11" s="5" t="n">
        <v>0</v>
      </c>
      <c r="E11" s="5" t="n">
        <v>10000</v>
      </c>
      <c r="F11" s="5">
        <f>C11+D11-E11</f>
        <v/>
      </c>
    </row>
    <row r="12">
      <c r="A12" s="4" t="inlineStr">
        <is>
          <t>3000</t>
        </is>
      </c>
      <c r="B12" s="4" t="inlineStr">
        <is>
          <t>Equity</t>
        </is>
      </c>
      <c r="C12" s="5" t="n">
        <v>500000</v>
      </c>
      <c r="D12" s="5" t="n">
        <v>0</v>
      </c>
      <c r="E12" s="5" t="n">
        <v>0</v>
      </c>
      <c r="F12" s="5">
        <f>C12+D12-E12</f>
        <v/>
      </c>
    </row>
    <row r="13">
      <c r="A13" s="4" t="inlineStr">
        <is>
          <t>4000</t>
        </is>
      </c>
      <c r="B13" s="4" t="inlineStr">
        <is>
          <t>Sales Revenue</t>
        </is>
      </c>
      <c r="C13" s="5" t="n">
        <v>75000</v>
      </c>
      <c r="D13" s="5" t="n">
        <v>0</v>
      </c>
      <c r="E13" s="5" t="n">
        <v>0</v>
      </c>
      <c r="F13" s="5">
        <f>C13+D13-E13</f>
        <v/>
      </c>
    </row>
    <row r="14">
      <c r="A14" s="4" t="inlineStr">
        <is>
          <t>5000</t>
        </is>
      </c>
      <c r="B14" s="4" t="inlineStr">
        <is>
          <t>Cost of Goods Sold</t>
        </is>
      </c>
      <c r="C14" s="5" t="n">
        <v>0</v>
      </c>
      <c r="D14" s="5" t="n">
        <v>40000</v>
      </c>
      <c r="E14" s="5" t="n">
        <v>0</v>
      </c>
      <c r="F14" s="5">
        <f>C14+D14-E14</f>
        <v/>
      </c>
    </row>
    <row r="15">
      <c r="A15" s="4" t="inlineStr">
        <is>
          <t>6000</t>
        </is>
      </c>
      <c r="B15" s="4" t="inlineStr">
        <is>
          <t>Operating Expenses</t>
        </is>
      </c>
      <c r="C15" s="5" t="n">
        <v>0</v>
      </c>
      <c r="D15" s="5" t="n">
        <v>10000</v>
      </c>
      <c r="E15" s="5" t="n">
        <v>0</v>
      </c>
      <c r="F15" s="5">
        <f>C15+D15-E15</f>
        <v/>
      </c>
    </row>
    <row r="16">
      <c r="A16" s="4" t="inlineStr">
        <is>
          <t>6100</t>
        </is>
      </c>
      <c r="B16" s="4" t="inlineStr">
        <is>
          <t>Depreciation Expense</t>
        </is>
      </c>
      <c r="C16" s="5" t="n">
        <v>0</v>
      </c>
      <c r="D16" s="5" t="n">
        <v>5000</v>
      </c>
      <c r="E16" s="5" t="n">
        <v>0</v>
      </c>
      <c r="F16" s="5">
        <f>C16+D16-E16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ABC Trading Pvt. Ltd.</t>
        </is>
      </c>
    </row>
    <row r="2">
      <c r="A2" s="2" t="inlineStr">
        <is>
          <t>Trial Balance</t>
        </is>
      </c>
    </row>
    <row r="3">
      <c r="A3" s="3" t="inlineStr">
        <is>
          <t>As at 31 March 2026</t>
        </is>
      </c>
    </row>
    <row r="4"/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Debit</t>
        </is>
      </c>
      <c r="D5" s="4" t="inlineStr">
        <is>
          <t>Credit</t>
        </is>
      </c>
    </row>
    <row r="6">
      <c r="A6" s="4" t="inlineStr">
        <is>
          <t>1000</t>
        </is>
      </c>
      <c r="B6" s="4" t="inlineStr">
        <is>
          <t>Cash &amp; Bank</t>
        </is>
      </c>
      <c r="C6" s="5" t="n">
        <v>450000</v>
      </c>
      <c r="D6" s="5" t="n">
        <v>0</v>
      </c>
    </row>
    <row r="7">
      <c r="A7" s="4" t="inlineStr">
        <is>
          <t>1100</t>
        </is>
      </c>
      <c r="B7" s="4" t="inlineStr">
        <is>
          <t>Accounts Receivable</t>
        </is>
      </c>
      <c r="C7" s="5" t="n">
        <v>60000</v>
      </c>
      <c r="D7" s="5" t="n">
        <v>0</v>
      </c>
    </row>
    <row r="8">
      <c r="A8" s="4" t="inlineStr">
        <is>
          <t>1200</t>
        </is>
      </c>
      <c r="B8" s="4" t="inlineStr">
        <is>
          <t>Inventory</t>
        </is>
      </c>
      <c r="C8" s="5" t="n">
        <v>100000</v>
      </c>
      <c r="D8" s="5" t="n">
        <v>0</v>
      </c>
    </row>
    <row r="9">
      <c r="A9" s="4" t="inlineStr">
        <is>
          <t>1500</t>
        </is>
      </c>
      <c r="B9" s="4" t="inlineStr">
        <is>
          <t>Fixed Assets</t>
        </is>
      </c>
      <c r="C9" s="5" t="n">
        <v>95000</v>
      </c>
      <c r="D9" s="5" t="n">
        <v>0</v>
      </c>
    </row>
    <row r="10">
      <c r="A10" s="4" t="inlineStr">
        <is>
          <t>2000</t>
        </is>
      </c>
      <c r="B10" s="4" t="inlineStr">
        <is>
          <t>Accounts Payable</t>
        </is>
      </c>
      <c r="C10" s="5" t="n">
        <v>0</v>
      </c>
      <c r="D10" s="5" t="n">
        <v>90000</v>
      </c>
    </row>
    <row r="11">
      <c r="A11" s="4" t="inlineStr">
        <is>
          <t>2100</t>
        </is>
      </c>
      <c r="B11" s="4" t="inlineStr">
        <is>
          <t>Accrued Expenses</t>
        </is>
      </c>
      <c r="C11" s="5" t="n">
        <v>0</v>
      </c>
      <c r="D11" s="5" t="n">
        <v>10000</v>
      </c>
    </row>
    <row r="12">
      <c r="A12" s="4" t="inlineStr">
        <is>
          <t>3000</t>
        </is>
      </c>
      <c r="B12" s="4" t="inlineStr">
        <is>
          <t>Equity</t>
        </is>
      </c>
      <c r="C12" s="5" t="n">
        <v>0</v>
      </c>
      <c r="D12" s="5" t="n">
        <v>500000</v>
      </c>
    </row>
    <row r="13">
      <c r="A13" s="4" t="inlineStr">
        <is>
          <t>4000</t>
        </is>
      </c>
      <c r="B13" s="4" t="inlineStr">
        <is>
          <t>Sales Revenue</t>
        </is>
      </c>
      <c r="C13" s="5" t="n">
        <v>0</v>
      </c>
      <c r="D13" s="5" t="n">
        <v>75000</v>
      </c>
    </row>
    <row r="14">
      <c r="A14" s="4" t="inlineStr">
        <is>
          <t>5000</t>
        </is>
      </c>
      <c r="B14" s="4" t="inlineStr">
        <is>
          <t>Cost of Goods Sold</t>
        </is>
      </c>
      <c r="C14" s="5" t="n">
        <v>40000</v>
      </c>
      <c r="D14" s="5" t="n">
        <v>0</v>
      </c>
    </row>
    <row r="15">
      <c r="A15" s="4" t="inlineStr">
        <is>
          <t>6000</t>
        </is>
      </c>
      <c r="B15" s="4" t="inlineStr">
        <is>
          <t>Operating Expenses</t>
        </is>
      </c>
      <c r="C15" s="5" t="n">
        <v>10000</v>
      </c>
      <c r="D15" s="5" t="n">
        <v>0</v>
      </c>
    </row>
    <row r="16">
      <c r="A16" s="4" t="inlineStr">
        <is>
          <t>6100</t>
        </is>
      </c>
      <c r="B16" s="4" t="inlineStr">
        <is>
          <t>Depreciation Expense</t>
        </is>
      </c>
      <c r="C16" s="5" t="n">
        <v>5000</v>
      </c>
      <c r="D16" s="5" t="n">
        <v>0</v>
      </c>
    </row>
    <row r="17"/>
    <row r="18">
      <c r="A18" s="6" t="inlineStr">
        <is>
          <t>TOTAL</t>
        </is>
      </c>
      <c r="C18" s="7">
        <f>SUM(C6:C16)</f>
        <v/>
      </c>
      <c r="D18" s="7">
        <f>SUM(D6:D16)</f>
        <v/>
      </c>
    </row>
    <row r="19">
      <c r="A19" t="inlineStr">
        <is>
          <t>CHECK</t>
        </is>
      </c>
      <c r="B19">
        <f>IF(C18=D18,"BALANCED","ERROR")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38" customWidth="1" min="4" max="4"/>
  </cols>
  <sheetData>
    <row r="1">
      <c r="A1" s="1" t="inlineStr">
        <is>
          <t>ABC Trading Pvt. Ltd.</t>
        </is>
      </c>
    </row>
    <row r="2">
      <c r="A2" s="2" t="inlineStr">
        <is>
          <t>Month-End Close Checklist</t>
        </is>
      </c>
    </row>
    <row r="3">
      <c r="A3" s="3" t="inlineStr">
        <is>
          <t>March 2026</t>
        </is>
      </c>
    </row>
    <row r="4"/>
    <row r="5">
      <c r="A5" s="4" t="inlineStr">
        <is>
          <t>Close Step</t>
        </is>
      </c>
      <c r="B5" s="4" t="inlineStr">
        <is>
          <t>Owner</t>
        </is>
      </c>
      <c r="C5" s="4" t="inlineStr">
        <is>
          <t>Status</t>
        </is>
      </c>
      <c r="D5" s="4" t="inlineStr">
        <is>
          <t>Evidence / Comment</t>
        </is>
      </c>
    </row>
    <row r="6">
      <c r="A6" s="4" t="inlineStr">
        <is>
          <t>Post recurring journals</t>
        </is>
      </c>
      <c r="B6" s="4" t="inlineStr">
        <is>
          <t>R2R Accountant</t>
        </is>
      </c>
      <c r="C6" s="4" t="inlineStr">
        <is>
          <t>Completed</t>
        </is>
      </c>
      <c r="D6" s="4" t="inlineStr">
        <is>
          <t>Depreciation and accruals posted</t>
        </is>
      </c>
    </row>
    <row r="7">
      <c r="A7" s="4" t="inlineStr">
        <is>
          <t>Reconcile bank balance</t>
        </is>
      </c>
      <c r="B7" s="4" t="inlineStr">
        <is>
          <t>R2R Accountant</t>
        </is>
      </c>
      <c r="C7" s="4" t="inlineStr">
        <is>
          <t>Completed</t>
        </is>
      </c>
      <c r="D7" s="4" t="inlineStr">
        <is>
          <t>Bank reconciliation completed</t>
        </is>
      </c>
    </row>
    <row r="8">
      <c r="A8" s="4" t="inlineStr">
        <is>
          <t>Reconcile AR subledger to GL</t>
        </is>
      </c>
      <c r="B8" s="4" t="inlineStr">
        <is>
          <t>R2R Accountant</t>
        </is>
      </c>
      <c r="C8" s="4" t="inlineStr">
        <is>
          <t>Completed</t>
        </is>
      </c>
      <c r="D8" s="4" t="inlineStr">
        <is>
          <t>AR balance reviewed</t>
        </is>
      </c>
    </row>
    <row r="9">
      <c r="A9" s="4" t="inlineStr">
        <is>
          <t>Reconcile AP subledger to GL</t>
        </is>
      </c>
      <c r="B9" s="4" t="inlineStr">
        <is>
          <t>R2R Accountant</t>
        </is>
      </c>
      <c r="C9" s="4" t="inlineStr">
        <is>
          <t>Completed</t>
        </is>
      </c>
      <c r="D9" s="4" t="inlineStr">
        <is>
          <t>AP balance reviewed</t>
        </is>
      </c>
    </row>
    <row r="10">
      <c r="A10" s="4" t="inlineStr">
        <is>
          <t>Review ageing reports</t>
        </is>
      </c>
      <c r="B10" s="4" t="inlineStr">
        <is>
          <t>Finance Manager</t>
        </is>
      </c>
      <c r="C10" s="4" t="inlineStr">
        <is>
          <t>Completed</t>
        </is>
      </c>
      <c r="D10" s="4" t="inlineStr">
        <is>
          <t>AR/AP ageing reviewed</t>
        </is>
      </c>
    </row>
    <row r="11">
      <c r="A11" s="4" t="inlineStr">
        <is>
          <t>Post depreciation</t>
        </is>
      </c>
      <c r="B11" s="4" t="inlineStr">
        <is>
          <t>R2R Accountant</t>
        </is>
      </c>
      <c r="C11" s="4" t="inlineStr">
        <is>
          <t>Completed</t>
        </is>
      </c>
      <c r="D11" s="4" t="inlineStr">
        <is>
          <t>Monthly depreciation posted</t>
        </is>
      </c>
    </row>
    <row r="12">
      <c r="A12" s="4" t="inlineStr">
        <is>
          <t>Review trial balance</t>
        </is>
      </c>
      <c r="B12" s="4" t="inlineStr">
        <is>
          <t>Finance Manager</t>
        </is>
      </c>
      <c r="C12" s="4" t="inlineStr">
        <is>
          <t>Completed</t>
        </is>
      </c>
      <c r="D12" s="4" t="inlineStr">
        <is>
          <t>Debit and credit totals agree</t>
        </is>
      </c>
    </row>
    <row r="13">
      <c r="A13" s="4" t="inlineStr">
        <is>
          <t>Perform P&amp;L review</t>
        </is>
      </c>
      <c r="B13" s="4" t="inlineStr">
        <is>
          <t>Finance Manager</t>
        </is>
      </c>
      <c r="C13" s="4" t="inlineStr">
        <is>
          <t>Completed</t>
        </is>
      </c>
      <c r="D13" s="4" t="inlineStr">
        <is>
          <t>Revenue and expense variances reviewed</t>
        </is>
      </c>
    </row>
    <row r="14">
      <c r="A14" s="4" t="inlineStr">
        <is>
          <t>Final management review</t>
        </is>
      </c>
      <c r="B14" s="4" t="inlineStr">
        <is>
          <t>Controller</t>
        </is>
      </c>
      <c r="C14" s="4" t="inlineStr">
        <is>
          <t>Pending</t>
        </is>
      </c>
      <c r="D14" s="4" t="inlineStr">
        <is>
          <t>Awaiting sign-off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ABC Trading Pvt. Ltd.</t>
        </is>
      </c>
    </row>
    <row r="2">
      <c r="A2" s="2" t="inlineStr">
        <is>
          <t>R2R Dashboard</t>
        </is>
      </c>
    </row>
    <row r="3">
      <c r="A3" s="3" t="inlineStr">
        <is>
          <t>Month-end reporting overview</t>
        </is>
      </c>
    </row>
    <row r="4"/>
    <row r="5">
      <c r="A5" s="4" t="inlineStr">
        <is>
          <t>Metric</t>
        </is>
      </c>
      <c r="B5" s="4" t="inlineStr">
        <is>
          <t>Result</t>
        </is>
      </c>
      <c r="C5" s="4" t="inlineStr">
        <is>
          <t>Note</t>
        </is>
      </c>
    </row>
    <row r="6">
      <c r="A6" s="4" t="inlineStr">
        <is>
          <t>Trial Balance Debit</t>
        </is>
      </c>
      <c r="B6" s="5">
        <f>'Trial Balance'!C18</f>
        <v/>
      </c>
      <c r="C6" s="4" t="inlineStr"/>
    </row>
    <row r="7">
      <c r="A7" s="4" t="inlineStr">
        <is>
          <t>Trial Balance Credit</t>
        </is>
      </c>
      <c r="B7" s="5">
        <f>'Trial Balance'!D18</f>
        <v/>
      </c>
      <c r="C7" s="4" t="inlineStr"/>
    </row>
    <row r="8">
      <c r="A8" s="4" t="inlineStr">
        <is>
          <t>Trial Balance Status</t>
        </is>
      </c>
      <c r="B8" s="4">
        <f>'Trial Balance'!B19</f>
        <v/>
      </c>
      <c r="C8" s="4" t="inlineStr"/>
    </row>
    <row r="9">
      <c r="A9" s="4" t="inlineStr">
        <is>
          <t>Close Steps Completed</t>
        </is>
      </c>
      <c r="B9" s="4">
        <f>COUNTIF('Month-End Close'!C6:C14,"Completed")</f>
        <v/>
      </c>
      <c r="C9" s="4" t="inlineStr">
        <is>
          <t>of 9</t>
        </is>
      </c>
    </row>
    <row r="10">
      <c r="A10" s="4" t="inlineStr">
        <is>
          <t>Close Steps Pending</t>
        </is>
      </c>
      <c r="B10" s="4">
        <f>COUNTIF('Month-End Close'!C6:C14,"Pending")</f>
        <v/>
      </c>
      <c r="C10" s="4" t="inlineStr">
        <is>
          <t>of 9</t>
        </is>
      </c>
    </row>
    <row r="11"/>
    <row r="12"/>
    <row r="13">
      <c r="A13" s="8" t="inlineStr">
        <is>
          <t>R2R MANAGEMENT OBSERVATIONS</t>
        </is>
      </c>
    </row>
    <row r="14">
      <c r="A14" t="inlineStr">
        <is>
          <t>The trial balance is designed to confirm debit-credit equality before reporting.</t>
        </is>
      </c>
    </row>
    <row r="15">
      <c r="A15" t="inlineStr">
        <is>
          <t>The close checklist documents key month-end controls and evidence.</t>
        </is>
      </c>
    </row>
    <row r="16">
      <c r="A16" t="inlineStr">
        <is>
          <t>Reconciliations and review steps support reporting accuracy and audit readiness.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2026-09-21T10:49:43Z</dcterms:created>
  <dcterms:modified xmlns:dcterms="http://purl.org/dc/terms/" xmlns:xsi="http://www.w3.org/2001/XMLSchema-instance" xsi:type="dcterms:W3CDTF">2026-09-21T10:49:43Z</dcterms:modified>
</cp:coreProperties>
</file>