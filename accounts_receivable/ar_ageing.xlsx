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 Ageing" sheetId="1" r:id="rId5"/>
    <sheet state="visible" name="Source Data" sheetId="2" r:id="rId6"/>
  </sheets>
  <definedNames/>
  <calcPr/>
</workbook>
</file>

<file path=xl/sharedStrings.xml><?xml version="1.0" encoding="utf-8"?>
<sst xmlns="http://schemas.openxmlformats.org/spreadsheetml/2006/main" count="27" uniqueCount="26">
  <si>
    <t>ABC Trading Pvt. Ltd.</t>
  </si>
  <si>
    <t>Invoice Number</t>
  </si>
  <si>
    <t>Accounts Receivable Ageing Report</t>
  </si>
  <si>
    <t>As at 31 March 2026</t>
  </si>
  <si>
    <t>Customer Name</t>
  </si>
  <si>
    <t>Days Outstanding</t>
  </si>
  <si>
    <t>Ageing Category</t>
  </si>
  <si>
    <t>Outstanding Amount</t>
  </si>
  <si>
    <t>% of Total</t>
  </si>
  <si>
    <t>Current / 0–30 Days</t>
  </si>
  <si>
    <t>AR-001</t>
  </si>
  <si>
    <t>Alpha Retail</t>
  </si>
  <si>
    <t>AR-002</t>
  </si>
  <si>
    <t>Beta Stores</t>
  </si>
  <si>
    <t>AR-003</t>
  </si>
  <si>
    <t>City Mart</t>
  </si>
  <si>
    <t>AR-004</t>
  </si>
  <si>
    <t>Daily Needs</t>
  </si>
  <si>
    <t>AR-005</t>
  </si>
  <si>
    <t>Metro Traders</t>
  </si>
  <si>
    <t>31–60 Days</t>
  </si>
  <si>
    <t>61–90 Days</t>
  </si>
  <si>
    <t>90+ Days</t>
  </si>
  <si>
    <t>TOTAL OUTSTANDING</t>
  </si>
  <si>
    <t>Management Insight</t>
  </si>
  <si>
    <t>100% of outstanding customer balances are more than 90 days overdue as at 31 March 2026.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</si>
</sst>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7.63"/>
    <col customWidth="1" min="3" max="3" width="8.88"/>
    <col customWidth="1" min="4" max="4" width="16.5"/>
    <col customWidth="1" min="5" max="6" width="10.13"/>
    <col customWidth="1" min="7" max="7" width="16.38"/>
    <col customWidth="1" min="8" max="8" width="19.0"/>
  </cols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3"/>
    </row>
    <row r="5">
      <c r="A5" s="4" t="s">
        <v>6</v>
      </c>
      <c r="B5" s="4" t="s">
        <v>7</v>
      </c>
      <c r="C5" s="4" t="s">
        <v>8</v>
      </c>
      <c r="E5" s="4"/>
      <c r="F5" s="4"/>
    </row>
    <row r="6">
      <c r="A6" s="4" t="s">
        <v>9</v>
      </c>
      <c r="B6" s="7">
        <f>SUMPRODUCT(('Source Data'!C2:C6&gt;=0)*('Source Data'!C2:C6&lt;=30)*('Source Data'!D2:D6))</f>
        <v>0</v>
      </c>
      <c r="C6" s="8">
        <f t="shared" ref="C6:C10" si="1">IF($B$10=0,0,B6/$B$10)</f>
        <v>0</v>
      </c>
    </row>
    <row r="7">
      <c r="A7" s="4" t="s">
        <v>20</v>
      </c>
      <c r="B7" s="7">
        <f>SUMPRODUCT(('Source Data'!C2:C6&gt;60)*('Source Data'!C2:C6&lt;=90)*('Source Data'!D2:D6))</f>
        <v>0</v>
      </c>
      <c r="C7" s="8">
        <f t="shared" si="1"/>
        <v>0</v>
      </c>
    </row>
    <row r="8">
      <c r="A8" s="4" t="s">
        <v>21</v>
      </c>
      <c r="B8" s="7">
        <f>SUMPRODUCT(('Source Data'!C2:C6&gt;60)*('Source Data'!C2:C6&lt;=90)*('Source Data'!D2:D6))</f>
        <v>0</v>
      </c>
      <c r="C8" s="8">
        <f t="shared" si="1"/>
        <v>0</v>
      </c>
      <c r="F8" s="3"/>
    </row>
    <row r="9">
      <c r="A9" s="4" t="s">
        <v>22</v>
      </c>
      <c r="B9" s="7">
        <f>SUMPRODUCT(('Source Data'!C2:C6&gt;90)*('Source Data'!D2:D6))</f>
        <v>205000</v>
      </c>
      <c r="C9" s="8">
        <f t="shared" si="1"/>
        <v>1</v>
      </c>
    </row>
    <row r="10">
      <c r="A10" s="4" t="s">
        <v>23</v>
      </c>
      <c r="B10" s="7">
        <f>SUM(B6:B9)</f>
        <v>205000</v>
      </c>
      <c r="C10" s="8">
        <f t="shared" si="1"/>
        <v>1</v>
      </c>
    </row>
    <row r="12">
      <c r="A12" s="1" t="s">
        <v>24</v>
      </c>
      <c r="B12" s="2" t="s">
        <v>25</v>
      </c>
    </row>
  </sheetData>
  <mergeCells count="1">
    <mergeCell ref="B12:G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3.75"/>
    <col customWidth="1" min="3" max="3" width="15.25"/>
    <col customWidth="1" min="4" max="4" width="17.63"/>
  </cols>
  <sheetData>
    <row r="1">
      <c r="A1" s="2" t="s">
        <v>1</v>
      </c>
      <c r="B1" s="2" t="s">
        <v>4</v>
      </c>
      <c r="C1" s="5" t="s">
        <v>5</v>
      </c>
      <c r="D1" s="5" t="s">
        <v>7</v>
      </c>
    </row>
    <row r="2">
      <c r="A2" s="1" t="s">
        <v>10</v>
      </c>
      <c r="B2" s="1" t="s">
        <v>11</v>
      </c>
      <c r="C2" s="6">
        <v>327.0</v>
      </c>
      <c r="D2" s="6">
        <v>35000.0</v>
      </c>
    </row>
    <row r="3">
      <c r="A3" s="1" t="s">
        <v>12</v>
      </c>
      <c r="B3" s="1" t="s">
        <v>13</v>
      </c>
      <c r="C3" s="6">
        <v>320.0</v>
      </c>
      <c r="D3" s="6">
        <v>60000.0</v>
      </c>
    </row>
    <row r="4">
      <c r="A4" s="1" t="s">
        <v>14</v>
      </c>
      <c r="B4" s="1" t="s">
        <v>15</v>
      </c>
      <c r="C4" s="6">
        <v>0.0</v>
      </c>
      <c r="D4" s="6">
        <v>0.0</v>
      </c>
    </row>
    <row r="5">
      <c r="A5" s="1" t="s">
        <v>16</v>
      </c>
      <c r="B5" s="1" t="s">
        <v>17</v>
      </c>
      <c r="C5" s="6">
        <v>310.0</v>
      </c>
      <c r="D5" s="6">
        <v>20000.0</v>
      </c>
    </row>
    <row r="6">
      <c r="A6" s="1" t="s">
        <v>18</v>
      </c>
      <c r="B6" s="1" t="s">
        <v>19</v>
      </c>
      <c r="C6" s="6">
        <v>305.0</v>
      </c>
      <c r="D6" s="6">
        <v>90000.0</v>
      </c>
    </row>
  </sheetData>
  <drawing r:id="rId1"/>
</worksheet>
</file>