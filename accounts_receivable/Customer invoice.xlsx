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COLLECTION REGISTER" sheetId="2" r:id="rId6"/>
    <sheet state="hidden" name="Customer Master" sheetId="3" r:id="rId7"/>
    <sheet state="hidden" name="Invoice Master" sheetId="4" r:id="rId8"/>
  </sheets>
  <definedNames/>
  <calcPr/>
</workbook>
</file>

<file path=xl/sharedStrings.xml><?xml version="1.0" encoding="utf-8"?>
<sst xmlns="http://schemas.openxmlformats.org/spreadsheetml/2006/main" count="72" uniqueCount="44">
  <si>
    <t>Customer ID</t>
  </si>
  <si>
    <t>Receipt ID</t>
  </si>
  <si>
    <t>Customer Name</t>
  </si>
  <si>
    <t>Invoice Number</t>
  </si>
  <si>
    <t>Invoice Amount</t>
  </si>
  <si>
    <t>C001</t>
  </si>
  <si>
    <t>Invoice Date</t>
  </si>
  <si>
    <t>Due Date</t>
  </si>
  <si>
    <t>Receipt Date</t>
  </si>
  <si>
    <t>AR-001</t>
  </si>
  <si>
    <t>Alpha Retail</t>
  </si>
  <si>
    <t>Amount Received</t>
  </si>
  <si>
    <t>C002</t>
  </si>
  <si>
    <t>Outstanding Amount</t>
  </si>
  <si>
    <t>Beta Stores</t>
  </si>
  <si>
    <t>AR-002</t>
  </si>
  <si>
    <t>Collection Status</t>
  </si>
  <si>
    <t>Payment Method</t>
  </si>
  <si>
    <t>AR-003</t>
  </si>
  <si>
    <t>Reference Number</t>
  </si>
  <si>
    <t>C003</t>
  </si>
  <si>
    <t>AR-004</t>
  </si>
  <si>
    <t>City Mart</t>
  </si>
  <si>
    <t>Remaining Balance</t>
  </si>
  <si>
    <t>Days Outstanding</t>
  </si>
  <si>
    <t>R001</t>
  </si>
  <si>
    <t>C004</t>
  </si>
  <si>
    <t>AR-005</t>
  </si>
  <si>
    <t>Daily Needs</t>
  </si>
  <si>
    <t>C005</t>
  </si>
  <si>
    <t>Metro Traders</t>
  </si>
  <si>
    <t>Bank Transfer</t>
  </si>
  <si>
    <t>REC001</t>
  </si>
  <si>
    <t>R002</t>
  </si>
  <si>
    <t xml:space="preserve"> AR-003 </t>
  </si>
  <si>
    <t xml:space="preserve">C004 </t>
  </si>
  <si>
    <t xml:space="preserve"> AR-004</t>
  </si>
  <si>
    <t>REC002</t>
  </si>
  <si>
    <t>R003</t>
  </si>
  <si>
    <t xml:space="preserve"> Metro Traders</t>
  </si>
  <si>
    <t xml:space="preserve"> AR-005</t>
  </si>
  <si>
    <t>TOTAL</t>
  </si>
  <si>
    <t>REC003</t>
  </si>
  <si>
    <t>COLLECTION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</si>
</sst>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mm-yyyy"/>
    <numFmt numFmtId="165" formatCode="dd-mmm-yy"/>
    <numFmt numFmtId="166" formatCode="dd-mmmm-yy"/>
    <numFmt numFmtId="167" formatCode="d-mmm-yy"/>
    <numFmt numFmtId="168" formatCode="d-mmmm-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Border="1" applyFont="1"/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13.75"/>
    <col customWidth="1" min="3" max="3" width="13.5"/>
    <col customWidth="1" min="4" max="4" width="10.88"/>
    <col customWidth="1" min="5" max="5" width="11.13"/>
    <col customWidth="1" min="6" max="6" width="13.5"/>
    <col customWidth="1" min="7" max="7" width="15.13"/>
    <col customWidth="1" min="8" max="8" width="17.63"/>
    <col customWidth="1" min="9" max="9" width="14.63"/>
    <col customWidth="1" min="10" max="10" width="15.25"/>
  </cols>
  <sheetData>
    <row r="1">
      <c r="A1" s="2" t="s">
        <v>0</v>
      </c>
      <c r="B1" s="2" t="s">
        <v>2</v>
      </c>
      <c r="C1" s="2" t="s">
        <v>3</v>
      </c>
      <c r="D1" s="2" t="s">
        <v>6</v>
      </c>
      <c r="E1" s="2" t="s">
        <v>7</v>
      </c>
      <c r="F1" s="2" t="s">
        <v>4</v>
      </c>
      <c r="G1" s="2" t="s">
        <v>11</v>
      </c>
      <c r="H1" s="2" t="s">
        <v>13</v>
      </c>
      <c r="I1" s="2" t="s">
        <v>16</v>
      </c>
      <c r="J1" s="2" t="s">
        <v>24</v>
      </c>
    </row>
    <row r="2">
      <c r="A2" s="5" t="s">
        <v>5</v>
      </c>
      <c r="B2" s="5" t="s">
        <v>10</v>
      </c>
      <c r="C2" s="5" t="s">
        <v>9</v>
      </c>
      <c r="D2" s="8">
        <v>45755.0</v>
      </c>
      <c r="E2" s="9">
        <v>45785.0</v>
      </c>
      <c r="F2" s="5">
        <v>75000.0</v>
      </c>
      <c r="G2" s="5">
        <v>40000.0</v>
      </c>
      <c r="H2" s="10">
        <f t="shared" ref="H2:H6" si="1">F2-G2</f>
        <v>35000</v>
      </c>
      <c r="I2" s="10" t="str">
        <f t="shared" ref="I2:I6" si="2">IF(H2=0,"Collected",IF(G2=0,"Uncollected","Partially Collected"))</f>
        <v>Partially Collected</v>
      </c>
      <c r="J2" s="10">
        <f t="shared" ref="J2:J6" si="3">IF(H2=0,0,MAX(0,DATE(2026,3,31)-E2))</f>
        <v>327</v>
      </c>
    </row>
    <row r="3">
      <c r="A3" s="5" t="s">
        <v>12</v>
      </c>
      <c r="B3" s="5" t="s">
        <v>14</v>
      </c>
      <c r="C3" s="5" t="s">
        <v>15</v>
      </c>
      <c r="D3" s="11">
        <v>45762.0</v>
      </c>
      <c r="E3" s="12">
        <v>45792.0</v>
      </c>
      <c r="F3" s="5">
        <v>60000.0</v>
      </c>
      <c r="G3" s="5">
        <v>0.0</v>
      </c>
      <c r="H3" s="10">
        <f t="shared" si="1"/>
        <v>60000</v>
      </c>
      <c r="I3" s="10" t="str">
        <f t="shared" si="2"/>
        <v>Uncollected</v>
      </c>
      <c r="J3" s="10">
        <f t="shared" si="3"/>
        <v>320</v>
      </c>
    </row>
    <row r="4">
      <c r="A4" s="5" t="s">
        <v>20</v>
      </c>
      <c r="B4" s="5" t="s">
        <v>22</v>
      </c>
      <c r="C4" s="5" t="s">
        <v>34</v>
      </c>
      <c r="D4" s="11">
        <v>45767.0</v>
      </c>
      <c r="E4" s="12">
        <v>45797.0</v>
      </c>
      <c r="F4" s="5">
        <v>45000.0</v>
      </c>
      <c r="G4" s="5">
        <v>45000.0</v>
      </c>
      <c r="H4" s="10">
        <f t="shared" si="1"/>
        <v>0</v>
      </c>
      <c r="I4" s="10" t="str">
        <f t="shared" si="2"/>
        <v>Collected</v>
      </c>
      <c r="J4" s="10">
        <f t="shared" si="3"/>
        <v>0</v>
      </c>
    </row>
    <row r="5">
      <c r="A5" s="5" t="s">
        <v>35</v>
      </c>
      <c r="B5" s="5" t="s">
        <v>28</v>
      </c>
      <c r="C5" s="5" t="s">
        <v>36</v>
      </c>
      <c r="D5" s="11">
        <v>45772.0</v>
      </c>
      <c r="E5" s="12">
        <v>45802.0</v>
      </c>
      <c r="F5" s="5">
        <v>30000.0</v>
      </c>
      <c r="G5" s="5">
        <v>10000.0</v>
      </c>
      <c r="H5" s="10">
        <f t="shared" si="1"/>
        <v>20000</v>
      </c>
      <c r="I5" s="10" t="str">
        <f t="shared" si="2"/>
        <v>Partially Collected</v>
      </c>
      <c r="J5" s="10">
        <f t="shared" si="3"/>
        <v>310</v>
      </c>
    </row>
    <row r="6">
      <c r="A6" s="5" t="s">
        <v>29</v>
      </c>
      <c r="B6" s="5" t="s">
        <v>39</v>
      </c>
      <c r="C6" s="5" t="s">
        <v>40</v>
      </c>
      <c r="D6" s="7">
        <v>45777.0</v>
      </c>
      <c r="E6" s="12">
        <v>45807.0</v>
      </c>
      <c r="F6" s="5">
        <v>90000.0</v>
      </c>
      <c r="G6" s="5">
        <v>0.0</v>
      </c>
      <c r="H6" s="10">
        <f t="shared" si="1"/>
        <v>90000</v>
      </c>
      <c r="I6" s="10" t="str">
        <f t="shared" si="2"/>
        <v>Uncollected</v>
      </c>
      <c r="J6" s="10">
        <f t="shared" si="3"/>
        <v>305</v>
      </c>
    </row>
    <row r="8">
      <c r="A8" s="5" t="s">
        <v>41</v>
      </c>
      <c r="F8" s="10">
        <f t="shared" ref="F8:H8" si="4">SUM(F2:F6)</f>
        <v>300000</v>
      </c>
      <c r="G8" s="10">
        <f t="shared" si="4"/>
        <v>95000</v>
      </c>
      <c r="H8" s="10">
        <f t="shared" si="4"/>
        <v>205000</v>
      </c>
    </row>
    <row r="11">
      <c r="G11" s="13"/>
      <c r="H11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</v>
      </c>
      <c r="B1" s="3" t="s">
        <v>8</v>
      </c>
      <c r="C1" s="3" t="s">
        <v>0</v>
      </c>
      <c r="D1" s="3" t="s">
        <v>2</v>
      </c>
      <c r="E1" s="3" t="s">
        <v>3</v>
      </c>
      <c r="F1" s="3" t="s">
        <v>4</v>
      </c>
      <c r="G1" s="3" t="s">
        <v>11</v>
      </c>
      <c r="H1" s="3" t="s">
        <v>17</v>
      </c>
      <c r="I1" s="3" t="s">
        <v>19</v>
      </c>
      <c r="J1" s="3" t="s">
        <v>23</v>
      </c>
    </row>
    <row r="2">
      <c r="A2" s="5" t="s">
        <v>25</v>
      </c>
      <c r="B2" s="7">
        <v>45762.0</v>
      </c>
      <c r="C2" s="5" t="s">
        <v>5</v>
      </c>
      <c r="D2" s="10" t="str">
        <f t="array" ref="D2">INDEX('Customer Master'!B:B,MATCH(C2,'Customer Master'!A:A,0))</f>
        <v>Alpha Retail</v>
      </c>
      <c r="E2" s="5" t="s">
        <v>9</v>
      </c>
      <c r="F2" s="5">
        <f t="array" ref="F2">INDEX('Invoice Master'!B2:B6,MATCH(E2,'Invoice Master'!A2:A6,0))</f>
        <v>75000</v>
      </c>
      <c r="G2" s="5">
        <v>40000.0</v>
      </c>
      <c r="H2" s="5" t="s">
        <v>31</v>
      </c>
      <c r="I2" s="5" t="s">
        <v>32</v>
      </c>
      <c r="J2" s="10">
        <f t="shared" ref="J2:J4" si="1">F2-G2</f>
        <v>35000</v>
      </c>
    </row>
    <row r="3">
      <c r="A3" s="5" t="s">
        <v>33</v>
      </c>
      <c r="B3" s="11">
        <v>45774.0</v>
      </c>
      <c r="C3" s="5" t="s">
        <v>20</v>
      </c>
      <c r="D3" s="10" t="str">
        <f t="array" ref="D3">INDEX('Customer Master'!B:B,MATCH(C3,'Customer Master'!A:A,0))</f>
        <v>City Mart</v>
      </c>
      <c r="E3" s="5" t="s">
        <v>18</v>
      </c>
      <c r="F3" s="5">
        <f t="array" ref="F3">INDEX('Invoice Master'!B3:B7,MATCH(E3,'Invoice Master'!A3:A7,0))</f>
        <v>45000</v>
      </c>
      <c r="G3" s="5">
        <v>45000.0</v>
      </c>
      <c r="H3" s="5" t="s">
        <v>31</v>
      </c>
      <c r="I3" s="5" t="s">
        <v>37</v>
      </c>
      <c r="J3" s="10">
        <f t="shared" si="1"/>
        <v>0</v>
      </c>
    </row>
    <row r="4">
      <c r="A4" s="5" t="s">
        <v>38</v>
      </c>
      <c r="B4" s="11">
        <v>45777.0</v>
      </c>
      <c r="C4" s="5" t="s">
        <v>26</v>
      </c>
      <c r="D4" s="10" t="str">
        <f t="array" ref="D4">INDEX('Customer Master'!B:B,MATCH(C4,'Customer Master'!A:A,0))</f>
        <v>Daily Needs</v>
      </c>
      <c r="E4" s="5" t="s">
        <v>21</v>
      </c>
      <c r="F4" s="5">
        <f t="array" ref="F4">INDEX('Invoice Master'!B4:B8,MATCH(E4,'Invoice Master'!A4:A8,0))</f>
        <v>30000</v>
      </c>
      <c r="G4" s="5">
        <v>10000.0</v>
      </c>
      <c r="H4" s="5" t="s">
        <v>31</v>
      </c>
      <c r="I4" s="5" t="s">
        <v>42</v>
      </c>
      <c r="J4" s="10">
        <f t="shared" si="1"/>
        <v>20000</v>
      </c>
    </row>
    <row r="5">
      <c r="A5" s="5" t="s">
        <v>41</v>
      </c>
      <c r="F5" s="10">
        <f t="shared" ref="F5:G5" si="2">SUM(F2:F4)</f>
        <v>150000</v>
      </c>
      <c r="G5" s="10">
        <f t="shared" si="2"/>
        <v>95000</v>
      </c>
      <c r="J5" s="10">
        <f>SUM(J2:J4)</f>
        <v>55000</v>
      </c>
    </row>
    <row r="7">
      <c r="A7" s="1" t="s">
        <v>43</v>
      </c>
      <c r="C7" s="10" t="str">
        <f>IF(G5=95000,"BALANCED","ERROR")</f>
        <v>BALANCED</v>
      </c>
    </row>
    <row r="12">
      <c r="H12" s="13"/>
      <c r="I12" s="13"/>
    </row>
  </sheetData>
  <mergeCells count="1">
    <mergeCell ref="A7:B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2"/>
    </row>
    <row r="2">
      <c r="A2" s="5" t="s">
        <v>5</v>
      </c>
      <c r="B2" s="5" t="s">
        <v>10</v>
      </c>
    </row>
    <row r="3">
      <c r="A3" s="5" t="s">
        <v>12</v>
      </c>
      <c r="B3" s="5" t="s">
        <v>14</v>
      </c>
    </row>
    <row r="4">
      <c r="A4" s="5" t="s">
        <v>20</v>
      </c>
      <c r="B4" s="5" t="s">
        <v>22</v>
      </c>
    </row>
    <row r="5">
      <c r="A5" s="5" t="s">
        <v>26</v>
      </c>
      <c r="B5" s="5" t="s">
        <v>28</v>
      </c>
    </row>
    <row r="6">
      <c r="A6" s="5" t="s">
        <v>29</v>
      </c>
      <c r="B6" s="5" t="s"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5"/>
  </cols>
  <sheetData>
    <row r="1">
      <c r="A1" s="1" t="s">
        <v>3</v>
      </c>
      <c r="B1" s="4" t="s">
        <v>4</v>
      </c>
    </row>
    <row r="2">
      <c r="A2" s="5" t="s">
        <v>9</v>
      </c>
      <c r="B2" s="6">
        <v>75000.0</v>
      </c>
    </row>
    <row r="3">
      <c r="A3" s="5" t="s">
        <v>15</v>
      </c>
      <c r="B3" s="6">
        <v>60000.0</v>
      </c>
    </row>
    <row r="4">
      <c r="A4" s="5" t="s">
        <v>18</v>
      </c>
      <c r="B4" s="6">
        <v>45000.0</v>
      </c>
    </row>
    <row r="5">
      <c r="A5" s="5" t="s">
        <v>21</v>
      </c>
      <c r="B5" s="6">
        <v>30000.0</v>
      </c>
    </row>
    <row r="6">
      <c r="A6" s="5" t="s">
        <v>27</v>
      </c>
      <c r="B6" s="6">
        <v>90000.0</v>
      </c>
    </row>
  </sheetData>
  <drawing r:id="rId1"/>
</worksheet>
</file>