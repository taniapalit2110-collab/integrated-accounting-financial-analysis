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Master" sheetId="1" state="visible" r:id="rId1"/>
    <sheet xmlns:r="http://schemas.openxmlformats.org/officeDocument/2006/relationships" name="Sales Orders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Collection Register" sheetId="4" state="visible" r:id="rId4"/>
    <sheet xmlns:r="http://schemas.openxmlformats.org/officeDocument/2006/relationships" name="O2C Ageing" sheetId="5" state="visible" r:id="rId5"/>
    <sheet xmlns:r="http://schemas.openxmlformats.org/officeDocument/2006/relationships" name="O2C 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;[Red]-₹#,##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</font>
    <font>
      <b val="1"/>
      <color rgb="00FFFFFF"/>
    </font>
    <font>
      <b val="1"/>
      <color rgb="001F1F1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164" fontId="4" fillId="2" borderId="1" applyAlignment="1" pivotButton="0" quotePrefix="0" xfId="0">
      <alignment vertical="center"/>
    </xf>
    <xf numFmtId="10" fontId="4" fillId="2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O2C Cash Collection vs Outstanding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'O2C Dashboard'!$A$7:$A$9</f>
            </numRef>
          </cat>
          <val>
            <numRef>
              <f>'O2C Dashboard'!$B$7:$B$9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2CCustomers" displayName="O2CCustomers" ref="A5:E10" headerRowCount="1">
  <autoFilter ref="A5:E10"/>
  <tableColumns count="5">
    <tableColumn id="1" name="Customer ID"/>
    <tableColumn id="2" name="Customer Name"/>
    <tableColumn id="3" name="Customer Type"/>
    <tableColumn id="4" name="Payment Terms"/>
    <tableColumn id="5" name="Credit Limi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O2COrders" displayName="O2COrders" ref="A5:I10" headerRowCount="1">
  <autoFilter ref="A5:I10"/>
  <tableColumns count="9">
    <tableColumn id="1" name="Order ID"/>
    <tableColumn id="2" name="Order Date"/>
    <tableColumn id="3" name="Customer ID"/>
    <tableColumn id="4" name="Customer Name"/>
    <tableColumn id="5" name="Product"/>
    <tableColumn id="6" name="Quantity"/>
    <tableColumn id="7" name="Unit Price"/>
    <tableColumn id="8" name="Order Value"/>
    <tableColumn id="9" name="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O2CInvoices" displayName="O2CInvoices" ref="A5:J10" headerRowCount="1">
  <autoFilter ref="A5:J10"/>
  <tableColumns count="10">
    <tableColumn id="1" name="Invoice No."/>
    <tableColumn id="2" name="Invoice Date"/>
    <tableColumn id="3" name="Order ID"/>
    <tableColumn id="4" name="Customer ID"/>
    <tableColumn id="5" name="Customer Name"/>
    <tableColumn id="6" name="Invoice Amount"/>
    <tableColumn id="7" name="Due Date"/>
    <tableColumn id="8" name="Amount Received"/>
    <tableColumn id="9" name="Outstanding"/>
    <tableColumn id="10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O2CCollections" displayName="O2CCollections" ref="A5:H9" headerRowCount="1">
  <autoFilter ref="A5:H9"/>
  <tableColumns count="8">
    <tableColumn id="1" name="Receipt ID"/>
    <tableColumn id="2" name="Receipt Date"/>
    <tableColumn id="3" name="Customer ID"/>
    <tableColumn id="4" name="Customer Name"/>
    <tableColumn id="5" name="Invoice No."/>
    <tableColumn id="6" name="Amount Received"/>
    <tableColumn id="7" name="Payment Method"/>
    <tableColumn id="8" name="Reference No.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O2CAgeing" displayName="O2CAgeing" ref="A5:F8" headerRowCount="1">
  <autoFilter ref="A5:F8"/>
  <tableColumns count="6">
    <tableColumn id="1" name="Invoice No."/>
    <tableColumn id="2" name="Customer"/>
    <tableColumn id="3" name="Due Date"/>
    <tableColumn id="4" name="Outstanding Amount"/>
    <tableColumn id="5" name="Days Outstanding"/>
    <tableColumn id="6" name="Ageing Bucke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4" customWidth="1" min="5" max="5"/>
  </cols>
  <sheetData>
    <row r="1">
      <c r="A1" s="1" t="inlineStr">
        <is>
          <t>ABC Trading Pvt. Ltd.</t>
        </is>
      </c>
    </row>
    <row r="2">
      <c r="A2" s="2" t="inlineStr">
        <is>
          <t>Order-to-Cash (O2C) Portfolio</t>
        </is>
      </c>
    </row>
    <row r="3">
      <c r="A3" s="3" t="inlineStr">
        <is>
          <t>Customer, order, invoice, collection and ageing workflow</t>
        </is>
      </c>
    </row>
    <row r="4"/>
    <row r="5">
      <c r="A5" s="4" t="inlineStr">
        <is>
          <t>Customer ID</t>
        </is>
      </c>
      <c r="B5" s="4" t="inlineStr">
        <is>
          <t>Customer Name</t>
        </is>
      </c>
      <c r="C5" s="4" t="inlineStr">
        <is>
          <t>Customer Type</t>
        </is>
      </c>
      <c r="D5" s="4" t="inlineStr">
        <is>
          <t>Payment Terms</t>
        </is>
      </c>
      <c r="E5" s="4" t="inlineStr">
        <is>
          <t>Credit Limit</t>
        </is>
      </c>
    </row>
    <row r="6">
      <c r="A6" s="4" t="inlineStr">
        <is>
          <t>C001</t>
        </is>
      </c>
      <c r="B6" s="4" t="inlineStr">
        <is>
          <t>Alpha Retail</t>
        </is>
      </c>
      <c r="C6" s="4" t="inlineStr">
        <is>
          <t>Retail</t>
        </is>
      </c>
      <c r="D6" s="4" t="inlineStr">
        <is>
          <t>30 Days</t>
        </is>
      </c>
      <c r="E6" s="5" t="n">
        <v>150000</v>
      </c>
    </row>
    <row r="7">
      <c r="A7" s="4" t="inlineStr">
        <is>
          <t>C002</t>
        </is>
      </c>
      <c r="B7" s="4" t="inlineStr">
        <is>
          <t>Beta Stores</t>
        </is>
      </c>
      <c r="C7" s="4" t="inlineStr">
        <is>
          <t>Retail</t>
        </is>
      </c>
      <c r="D7" s="4" t="inlineStr">
        <is>
          <t>30 Days</t>
        </is>
      </c>
      <c r="E7" s="5" t="n">
        <v>125000</v>
      </c>
    </row>
    <row r="8">
      <c r="A8" s="4" t="inlineStr">
        <is>
          <t>C003</t>
        </is>
      </c>
      <c r="B8" s="4" t="inlineStr">
        <is>
          <t>City Mart</t>
        </is>
      </c>
      <c r="C8" s="4" t="inlineStr">
        <is>
          <t>Wholesale</t>
        </is>
      </c>
      <c r="D8" s="4" t="inlineStr">
        <is>
          <t>45 Days</t>
        </is>
      </c>
      <c r="E8" s="5" t="n">
        <v>200000</v>
      </c>
    </row>
    <row r="9">
      <c r="A9" s="4" t="inlineStr">
        <is>
          <t>C004</t>
        </is>
      </c>
      <c r="B9" s="4" t="inlineStr">
        <is>
          <t>Daily Needs</t>
        </is>
      </c>
      <c r="C9" s="4" t="inlineStr">
        <is>
          <t>Retail</t>
        </is>
      </c>
      <c r="D9" s="4" t="inlineStr">
        <is>
          <t>30 Days</t>
        </is>
      </c>
      <c r="E9" s="5" t="n">
        <v>100000</v>
      </c>
    </row>
    <row r="10">
      <c r="A10" s="4" t="inlineStr">
        <is>
          <t>C005</t>
        </is>
      </c>
      <c r="B10" s="4" t="inlineStr">
        <is>
          <t>Metro Traders</t>
        </is>
      </c>
      <c r="C10" s="4" t="inlineStr">
        <is>
          <t>Wholesale</t>
        </is>
      </c>
      <c r="D10" s="4" t="inlineStr">
        <is>
          <t>45 Days</t>
        </is>
      </c>
      <c r="E10" s="5" t="n">
        <v>250000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3" customWidth="1" min="3" max="3"/>
    <col width="38" customWidth="1" min="4" max="4"/>
    <col width="22" customWidth="1" min="5" max="5"/>
    <col width="12" customWidth="1" min="6" max="6"/>
    <col width="12" customWidth="1" min="7" max="7"/>
    <col width="13" customWidth="1" min="8" max="8"/>
    <col width="16" customWidth="1" min="9" max="9"/>
  </cols>
  <sheetData>
    <row r="1">
      <c r="A1" s="1" t="inlineStr">
        <is>
          <t>ABC Trading Pvt. Ltd.</t>
        </is>
      </c>
    </row>
    <row r="2">
      <c r="A2" s="2" t="inlineStr">
        <is>
          <t>Sales Orders</t>
        </is>
      </c>
    </row>
    <row r="3"/>
    <row r="4"/>
    <row r="5">
      <c r="A5" s="4" t="inlineStr">
        <is>
          <t>Order ID</t>
        </is>
      </c>
      <c r="B5" s="4" t="inlineStr">
        <is>
          <t>Order Date</t>
        </is>
      </c>
      <c r="C5" s="4" t="inlineStr">
        <is>
          <t>Customer ID</t>
        </is>
      </c>
      <c r="D5" s="4" t="inlineStr">
        <is>
          <t>Customer Name</t>
        </is>
      </c>
      <c r="E5" s="4" t="inlineStr">
        <is>
          <t>Product</t>
        </is>
      </c>
      <c r="F5" s="4" t="inlineStr">
        <is>
          <t>Quantity</t>
        </is>
      </c>
      <c r="G5" s="4" t="inlineStr">
        <is>
          <t>Unit Price</t>
        </is>
      </c>
      <c r="H5" s="4" t="inlineStr">
        <is>
          <t>Order Value</t>
        </is>
      </c>
      <c r="I5" s="4" t="inlineStr">
        <is>
          <t>Status</t>
        </is>
      </c>
    </row>
    <row r="6">
      <c r="A6" s="4" t="inlineStr">
        <is>
          <t>SO-001</t>
        </is>
      </c>
      <c r="B6" s="4" t="inlineStr">
        <is>
          <t>2026-01-05</t>
        </is>
      </c>
      <c r="C6" s="4" t="inlineStr">
        <is>
          <t>C001</t>
        </is>
      </c>
      <c r="D6" s="4">
        <f>INDEX('Customer Master'!B6:B10,MATCH(C6,'Customer Master'!A6:A10,0))</f>
        <v/>
      </c>
      <c r="E6" s="4" t="inlineStr">
        <is>
          <t>Laptop Accessories</t>
        </is>
      </c>
      <c r="F6" s="4" t="n">
        <v>10</v>
      </c>
      <c r="G6" s="5" t="n">
        <v>2500</v>
      </c>
      <c r="H6" s="5">
        <f>F6*G6</f>
        <v/>
      </c>
      <c r="I6" s="4" t="inlineStr">
        <is>
          <t>Invoiced</t>
        </is>
      </c>
    </row>
    <row r="7">
      <c r="A7" s="4" t="inlineStr">
        <is>
          <t>SO-002</t>
        </is>
      </c>
      <c r="B7" s="4" t="inlineStr">
        <is>
          <t>2026-01-12</t>
        </is>
      </c>
      <c r="C7" s="4" t="inlineStr">
        <is>
          <t>C003</t>
        </is>
      </c>
      <c r="D7" s="4">
        <f>INDEX('Customer Master'!B6:B10,MATCH(C7,'Customer Master'!A6:A10,0))</f>
        <v/>
      </c>
      <c r="E7" s="4" t="inlineStr">
        <is>
          <t>Networking Equipment</t>
        </is>
      </c>
      <c r="F7" s="4" t="n">
        <v>5</v>
      </c>
      <c r="G7" s="5" t="n">
        <v>12000</v>
      </c>
      <c r="H7" s="5">
        <f>F7*G7</f>
        <v/>
      </c>
      <c r="I7" s="4" t="inlineStr">
        <is>
          <t>Invoiced</t>
        </is>
      </c>
    </row>
    <row r="8">
      <c r="A8" s="4" t="inlineStr">
        <is>
          <t>SO-003</t>
        </is>
      </c>
      <c r="B8" s="4" t="inlineStr">
        <is>
          <t>2026-02-03</t>
        </is>
      </c>
      <c r="C8" s="4" t="inlineStr">
        <is>
          <t>C002</t>
        </is>
      </c>
      <c r="D8" s="4">
        <f>INDEX('Customer Master'!B6:B10,MATCH(C8,'Customer Master'!A6:A10,0))</f>
        <v/>
      </c>
      <c r="E8" s="4" t="inlineStr">
        <is>
          <t>Office Equipment</t>
        </is>
      </c>
      <c r="F8" s="4" t="n">
        <v>8</v>
      </c>
      <c r="G8" s="5" t="n">
        <v>5000</v>
      </c>
      <c r="H8" s="5">
        <f>F8*G8</f>
        <v/>
      </c>
      <c r="I8" s="4" t="inlineStr">
        <is>
          <t>Invoiced</t>
        </is>
      </c>
    </row>
    <row r="9">
      <c r="A9" s="4" t="inlineStr">
        <is>
          <t>SO-004</t>
        </is>
      </c>
      <c r="B9" s="4" t="inlineStr">
        <is>
          <t>2026-02-18</t>
        </is>
      </c>
      <c r="C9" s="4" t="inlineStr">
        <is>
          <t>C004</t>
        </is>
      </c>
      <c r="D9" s="4">
        <f>INDEX('Customer Master'!B6:B10,MATCH(C9,'Customer Master'!A6:A10,0))</f>
        <v/>
      </c>
      <c r="E9" s="4" t="inlineStr">
        <is>
          <t>Printer Supplies</t>
        </is>
      </c>
      <c r="F9" s="4" t="n">
        <v>20</v>
      </c>
      <c r="G9" s="5" t="n">
        <v>1500</v>
      </c>
      <c r="H9" s="5">
        <f>F9*G9</f>
        <v/>
      </c>
      <c r="I9" s="4" t="inlineStr">
        <is>
          <t>Partially Paid</t>
        </is>
      </c>
    </row>
    <row r="10">
      <c r="A10" s="4" t="inlineStr">
        <is>
          <t>SO-005</t>
        </is>
      </c>
      <c r="B10" s="4" t="inlineStr">
        <is>
          <t>2026-03-02</t>
        </is>
      </c>
      <c r="C10" s="4" t="inlineStr">
        <is>
          <t>C005</t>
        </is>
      </c>
      <c r="D10" s="4">
        <f>INDEX('Customer Master'!B6:B10,MATCH(C10,'Customer Master'!A6:A10,0))</f>
        <v/>
      </c>
      <c r="E10" s="4" t="inlineStr">
        <is>
          <t>IT Hardware</t>
        </is>
      </c>
      <c r="F10" s="4" t="n">
        <v>4</v>
      </c>
      <c r="G10" s="5" t="n">
        <v>15000</v>
      </c>
      <c r="H10" s="5">
        <f>F10*G10</f>
        <v/>
      </c>
      <c r="I10" s="4" t="inlineStr">
        <is>
          <t>Outstanding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3" customWidth="1" min="4" max="4"/>
    <col width="38" customWidth="1" min="5" max="5"/>
    <col width="16" customWidth="1" min="6" max="6"/>
    <col width="12" customWidth="1" min="7" max="7"/>
    <col width="17" customWidth="1" min="8" max="8"/>
    <col width="13" customWidth="1" min="9" max="9"/>
    <col width="16" customWidth="1" min="10" max="10"/>
  </cols>
  <sheetData>
    <row r="1">
      <c r="A1" s="1" t="inlineStr">
        <is>
          <t>ABC Trading Pvt. Ltd.</t>
        </is>
      </c>
    </row>
    <row r="2">
      <c r="A2" s="2" t="inlineStr">
        <is>
          <t>Invoice Register</t>
        </is>
      </c>
    </row>
    <row r="3"/>
    <row r="4"/>
    <row r="5">
      <c r="A5" s="4" t="inlineStr">
        <is>
          <t>Invoice No.</t>
        </is>
      </c>
      <c r="B5" s="4" t="inlineStr">
        <is>
          <t>Invoice Date</t>
        </is>
      </c>
      <c r="C5" s="4" t="inlineStr">
        <is>
          <t>Order ID</t>
        </is>
      </c>
      <c r="D5" s="4" t="inlineStr">
        <is>
          <t>Customer ID</t>
        </is>
      </c>
      <c r="E5" s="4" t="inlineStr">
        <is>
          <t>Customer Name</t>
        </is>
      </c>
      <c r="F5" s="4" t="inlineStr">
        <is>
          <t>Invoice Amount</t>
        </is>
      </c>
      <c r="G5" s="4" t="inlineStr">
        <is>
          <t>Due Date</t>
        </is>
      </c>
      <c r="H5" s="4" t="inlineStr">
        <is>
          <t>Amount Received</t>
        </is>
      </c>
      <c r="I5" s="4" t="inlineStr">
        <is>
          <t>Outstanding</t>
        </is>
      </c>
      <c r="J5" s="4" t="inlineStr">
        <is>
          <t>Status</t>
        </is>
      </c>
    </row>
    <row r="6">
      <c r="A6" s="4" t="inlineStr">
        <is>
          <t>INV-001</t>
        </is>
      </c>
      <c r="B6" s="4" t="inlineStr">
        <is>
          <t>2026-01-10</t>
        </is>
      </c>
      <c r="C6" s="4" t="inlineStr">
        <is>
          <t>SO-001</t>
        </is>
      </c>
      <c r="D6" s="4" t="inlineStr">
        <is>
          <t>C001</t>
        </is>
      </c>
      <c r="E6" s="4">
        <f>INDEX('Customer Master'!B6:B10,MATCH(D6,'Customer Master'!A6:A10,0))</f>
        <v/>
      </c>
      <c r="F6" s="5" t="n">
        <v>25000</v>
      </c>
      <c r="G6" s="4" t="inlineStr">
        <is>
          <t>2026-02-09</t>
        </is>
      </c>
      <c r="H6" s="5" t="n">
        <v>25000</v>
      </c>
      <c r="I6" s="5">
        <f>F6-H6</f>
        <v/>
      </c>
      <c r="J6" s="4" t="inlineStr">
        <is>
          <t>Paid</t>
        </is>
      </c>
    </row>
    <row r="7">
      <c r="A7" s="4" t="inlineStr">
        <is>
          <t>INV-002</t>
        </is>
      </c>
      <c r="B7" s="4" t="inlineStr">
        <is>
          <t>2026-01-18</t>
        </is>
      </c>
      <c r="C7" s="4" t="inlineStr">
        <is>
          <t>SO-002</t>
        </is>
      </c>
      <c r="D7" s="4" t="inlineStr">
        <is>
          <t>C003</t>
        </is>
      </c>
      <c r="E7" s="4">
        <f>INDEX('Customer Master'!B6:B10,MATCH(D7,'Customer Master'!A6:A10,0))</f>
        <v/>
      </c>
      <c r="F7" s="5" t="n">
        <v>60000</v>
      </c>
      <c r="G7" s="4" t="inlineStr">
        <is>
          <t>2026-03-04</t>
        </is>
      </c>
      <c r="H7" s="5" t="n">
        <v>40000</v>
      </c>
      <c r="I7" s="5">
        <f>F7-H7</f>
        <v/>
      </c>
      <c r="J7" s="4" t="inlineStr">
        <is>
          <t>Partially Paid</t>
        </is>
      </c>
    </row>
    <row r="8">
      <c r="A8" s="4" t="inlineStr">
        <is>
          <t>INV-003</t>
        </is>
      </c>
      <c r="B8" s="4" t="inlineStr">
        <is>
          <t>2026-02-08</t>
        </is>
      </c>
      <c r="C8" s="4" t="inlineStr">
        <is>
          <t>SO-003</t>
        </is>
      </c>
      <c r="D8" s="4" t="inlineStr">
        <is>
          <t>C002</t>
        </is>
      </c>
      <c r="E8" s="4">
        <f>INDEX('Customer Master'!B6:B10,MATCH(D8,'Customer Master'!A6:A10,0))</f>
        <v/>
      </c>
      <c r="F8" s="5" t="n">
        <v>40000</v>
      </c>
      <c r="G8" s="4" t="inlineStr">
        <is>
          <t>2026-03-10</t>
        </is>
      </c>
      <c r="H8" s="5" t="n">
        <v>40000</v>
      </c>
      <c r="I8" s="5">
        <f>F8-H8</f>
        <v/>
      </c>
      <c r="J8" s="4" t="inlineStr">
        <is>
          <t>Paid</t>
        </is>
      </c>
    </row>
    <row r="9">
      <c r="A9" s="4" t="inlineStr">
        <is>
          <t>INV-004</t>
        </is>
      </c>
      <c r="B9" s="4" t="inlineStr">
        <is>
          <t>2026-02-22</t>
        </is>
      </c>
      <c r="C9" s="4" t="inlineStr">
        <is>
          <t>SO-004</t>
        </is>
      </c>
      <c r="D9" s="4" t="inlineStr">
        <is>
          <t>C004</t>
        </is>
      </c>
      <c r="E9" s="4">
        <f>INDEX('Customer Master'!B6:B10,MATCH(D9,'Customer Master'!A6:A10,0))</f>
        <v/>
      </c>
      <c r="F9" s="5" t="n">
        <v>30000</v>
      </c>
      <c r="G9" s="4" t="inlineStr">
        <is>
          <t>2026-03-24</t>
        </is>
      </c>
      <c r="H9" s="5" t="n">
        <v>10000</v>
      </c>
      <c r="I9" s="5">
        <f>F9-H9</f>
        <v/>
      </c>
      <c r="J9" s="4" t="inlineStr">
        <is>
          <t>Partially Paid</t>
        </is>
      </c>
    </row>
    <row r="10">
      <c r="A10" s="4" t="inlineStr">
        <is>
          <t>INV-005</t>
        </is>
      </c>
      <c r="B10" s="4" t="inlineStr">
        <is>
          <t>2026-03-05</t>
        </is>
      </c>
      <c r="C10" s="4" t="inlineStr">
        <is>
          <t>SO-005</t>
        </is>
      </c>
      <c r="D10" s="4" t="inlineStr">
        <is>
          <t>C005</t>
        </is>
      </c>
      <c r="E10" s="4">
        <f>INDEX('Customer Master'!B6:B10,MATCH(D10,'Customer Master'!A6:A10,0))</f>
        <v/>
      </c>
      <c r="F10" s="5" t="n">
        <v>60000</v>
      </c>
      <c r="G10" s="4" t="inlineStr">
        <is>
          <t>2026-04-19</t>
        </is>
      </c>
      <c r="H10" s="5" t="n">
        <v>0</v>
      </c>
      <c r="I10" s="5">
        <f>F10-H10</f>
        <v/>
      </c>
      <c r="J10" s="4" t="inlineStr">
        <is>
          <t>Outstanding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38" customWidth="1" min="4" max="4"/>
    <col width="13" customWidth="1" min="5" max="5"/>
    <col width="17" customWidth="1" min="6" max="6"/>
    <col width="16" customWidth="1" min="7" max="7"/>
    <col width="15" customWidth="1" min="8" max="8"/>
  </cols>
  <sheetData>
    <row r="1">
      <c r="A1" s="1" t="inlineStr">
        <is>
          <t>ABC Trading Pvt. Ltd.</t>
        </is>
      </c>
    </row>
    <row r="2">
      <c r="A2" s="2" t="inlineStr">
        <is>
          <t>Collection Register</t>
        </is>
      </c>
    </row>
    <row r="3"/>
    <row r="4"/>
    <row r="5">
      <c r="A5" s="4" t="inlineStr">
        <is>
          <t>Receipt ID</t>
        </is>
      </c>
      <c r="B5" s="4" t="inlineStr">
        <is>
          <t>Receipt Date</t>
        </is>
      </c>
      <c r="C5" s="4" t="inlineStr">
        <is>
          <t>Customer ID</t>
        </is>
      </c>
      <c r="D5" s="4" t="inlineStr">
        <is>
          <t>Customer Name</t>
        </is>
      </c>
      <c r="E5" s="4" t="inlineStr">
        <is>
          <t>Invoice No.</t>
        </is>
      </c>
      <c r="F5" s="4" t="inlineStr">
        <is>
          <t>Amount Received</t>
        </is>
      </c>
      <c r="G5" s="4" t="inlineStr">
        <is>
          <t>Payment Method</t>
        </is>
      </c>
      <c r="H5" s="4" t="inlineStr">
        <is>
          <t>Reference No.</t>
        </is>
      </c>
    </row>
    <row r="6">
      <c r="A6" s="4" t="inlineStr">
        <is>
          <t>REC-001</t>
        </is>
      </c>
      <c r="B6" s="4" t="inlineStr">
        <is>
          <t>2026-01-25</t>
        </is>
      </c>
      <c r="C6" s="4" t="inlineStr">
        <is>
          <t>C001</t>
        </is>
      </c>
      <c r="D6" s="4">
        <f>INDEX('Customer Master'!B6:B10,MATCH(C6,'Customer Master'!A6:A10,0))</f>
        <v/>
      </c>
      <c r="E6" s="4" t="inlineStr">
        <is>
          <t>INV-001</t>
        </is>
      </c>
      <c r="F6" s="5" t="n">
        <v>25000</v>
      </c>
      <c r="G6" s="4" t="inlineStr">
        <is>
          <t>Bank Transfer</t>
        </is>
      </c>
      <c r="H6" s="4" t="inlineStr">
        <is>
          <t>BT-001</t>
        </is>
      </c>
    </row>
    <row r="7">
      <c r="A7" s="4" t="inlineStr">
        <is>
          <t>REC-002</t>
        </is>
      </c>
      <c r="B7" s="4" t="inlineStr">
        <is>
          <t>2026-02-25</t>
        </is>
      </c>
      <c r="C7" s="4" t="inlineStr">
        <is>
          <t>C003</t>
        </is>
      </c>
      <c r="D7" s="4">
        <f>INDEX('Customer Master'!B6:B10,MATCH(C7,'Customer Master'!A6:A10,0))</f>
        <v/>
      </c>
      <c r="E7" s="4" t="inlineStr">
        <is>
          <t>INV-002</t>
        </is>
      </c>
      <c r="F7" s="5" t="n">
        <v>40000</v>
      </c>
      <c r="G7" s="4" t="inlineStr">
        <is>
          <t>Bank Transfer</t>
        </is>
      </c>
      <c r="H7" s="4" t="inlineStr">
        <is>
          <t>BT-002</t>
        </is>
      </c>
    </row>
    <row r="8">
      <c r="A8" s="4" t="inlineStr">
        <is>
          <t>REC-003</t>
        </is>
      </c>
      <c r="B8" s="4" t="inlineStr">
        <is>
          <t>2026-03-15</t>
        </is>
      </c>
      <c r="C8" s="4" t="inlineStr">
        <is>
          <t>C002</t>
        </is>
      </c>
      <c r="D8" s="4">
        <f>INDEX('Customer Master'!B6:B10,MATCH(C8,'Customer Master'!A6:A10,0))</f>
        <v/>
      </c>
      <c r="E8" s="4" t="inlineStr">
        <is>
          <t>INV-003</t>
        </is>
      </c>
      <c r="F8" s="5" t="n">
        <v>40000</v>
      </c>
      <c r="G8" s="4" t="inlineStr">
        <is>
          <t>Bank Transfer</t>
        </is>
      </c>
      <c r="H8" s="4" t="inlineStr">
        <is>
          <t>BT-003</t>
        </is>
      </c>
    </row>
    <row r="9">
      <c r="A9" s="4" t="inlineStr">
        <is>
          <t>REC-004</t>
        </is>
      </c>
      <c r="B9" s="4" t="inlineStr">
        <is>
          <t>2026-03-28</t>
        </is>
      </c>
      <c r="C9" s="4" t="inlineStr">
        <is>
          <t>C004</t>
        </is>
      </c>
      <c r="D9" s="4">
        <f>INDEX('Customer Master'!B6:B10,MATCH(C9,'Customer Master'!A6:A10,0))</f>
        <v/>
      </c>
      <c r="E9" s="4" t="inlineStr">
        <is>
          <t>INV-004</t>
        </is>
      </c>
      <c r="F9" s="5" t="n">
        <v>10000</v>
      </c>
      <c r="G9" s="4" t="inlineStr">
        <is>
          <t>Bank Transfer</t>
        </is>
      </c>
      <c r="H9" s="4" t="inlineStr">
        <is>
          <t>BT-004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2" customWidth="1" min="3" max="3"/>
    <col width="20" customWidth="1" min="4" max="4"/>
    <col width="18" customWidth="1" min="5" max="5"/>
    <col width="15" customWidth="1" min="6" max="6"/>
  </cols>
  <sheetData>
    <row r="1">
      <c r="A1" s="1" t="inlineStr">
        <is>
          <t>ABC Trading Pvt. Ltd.</t>
        </is>
      </c>
    </row>
    <row r="2">
      <c r="A2" s="2" t="inlineStr">
        <is>
          <t>O2C Receivables Ageing</t>
        </is>
      </c>
    </row>
    <row r="3">
      <c r="A3" s="3" t="inlineStr">
        <is>
          <t>As at 31 March 2026</t>
        </is>
      </c>
    </row>
    <row r="4"/>
    <row r="5">
      <c r="A5" s="4" t="inlineStr">
        <is>
          <t>Invoice No.</t>
        </is>
      </c>
      <c r="B5" s="4" t="inlineStr">
        <is>
          <t>Customer</t>
        </is>
      </c>
      <c r="C5" s="4" t="inlineStr">
        <is>
          <t>Due Date</t>
        </is>
      </c>
      <c r="D5" s="4" t="inlineStr">
        <is>
          <t>Outstanding Amount</t>
        </is>
      </c>
      <c r="E5" s="4" t="inlineStr">
        <is>
          <t>Days Outstanding</t>
        </is>
      </c>
      <c r="F5" s="4" t="inlineStr">
        <is>
          <t>Ageing Bucket</t>
        </is>
      </c>
    </row>
    <row r="6">
      <c r="A6" s="4" t="inlineStr">
        <is>
          <t>INV-002</t>
        </is>
      </c>
      <c r="B6" s="4">
        <f>INDEX('Invoice Register'!E6:E10,MATCH(A6,'Invoice Register'!A6:A10,0))</f>
        <v/>
      </c>
      <c r="C6" s="4" t="inlineStr">
        <is>
          <t>2026-03-04</t>
        </is>
      </c>
      <c r="D6" s="5" t="n">
        <v>20000</v>
      </c>
      <c r="E6" s="4" t="n">
        <v>27</v>
      </c>
      <c r="F6" s="4" t="inlineStr">
        <is>
          <t>0-30 Days</t>
        </is>
      </c>
    </row>
    <row r="7">
      <c r="A7" s="4" t="inlineStr">
        <is>
          <t>INV-004</t>
        </is>
      </c>
      <c r="B7" s="4">
        <f>INDEX('Invoice Register'!E6:E10,MATCH(A7,'Invoice Register'!A6:A10,0))</f>
        <v/>
      </c>
      <c r="C7" s="4" t="inlineStr">
        <is>
          <t>2026-03-24</t>
        </is>
      </c>
      <c r="D7" s="5" t="n">
        <v>20000</v>
      </c>
      <c r="E7" s="4" t="n">
        <v>7</v>
      </c>
      <c r="F7" s="4" t="inlineStr">
        <is>
          <t>0-30 Days</t>
        </is>
      </c>
    </row>
    <row r="8">
      <c r="A8" s="4" t="inlineStr">
        <is>
          <t>INV-005</t>
        </is>
      </c>
      <c r="B8" s="4">
        <f>INDEX('Invoice Register'!E6:E10,MATCH(A8,'Invoice Register'!A6:A10,0))</f>
        <v/>
      </c>
      <c r="C8" s="4" t="inlineStr">
        <is>
          <t>2026-04-19</t>
        </is>
      </c>
      <c r="D8" s="5" t="n">
        <v>60000</v>
      </c>
      <c r="E8" s="4" t="n">
        <v>0</v>
      </c>
      <c r="F8" s="4" t="inlineStr">
        <is>
          <t>Not Yet Due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5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ABC Trading Pvt. Ltd.</t>
        </is>
      </c>
    </row>
    <row r="2">
      <c r="A2" s="2" t="inlineStr">
        <is>
          <t>O2C Dashboard</t>
        </is>
      </c>
    </row>
    <row r="3">
      <c r="A3" s="3" t="inlineStr">
        <is>
          <t>Key operational metrics</t>
        </is>
      </c>
    </row>
    <row r="4"/>
    <row r="5">
      <c r="A5" s="4" t="inlineStr">
        <is>
          <t>Metric</t>
        </is>
      </c>
      <c r="B5" s="4" t="inlineStr">
        <is>
          <t>Result</t>
        </is>
      </c>
      <c r="C5" s="4" t="inlineStr">
        <is>
          <t>Category</t>
        </is>
      </c>
    </row>
    <row r="6">
      <c r="A6" s="4" t="inlineStr">
        <is>
          <t>Total Orders</t>
        </is>
      </c>
      <c r="B6" s="5">
        <f>SUM('Sales Orders'!H6:H10)</f>
        <v/>
      </c>
      <c r="C6" s="4" t="inlineStr">
        <is>
          <t>Order Value</t>
        </is>
      </c>
    </row>
    <row r="7">
      <c r="A7" s="4" t="inlineStr">
        <is>
          <t>Total Invoiced</t>
        </is>
      </c>
      <c r="B7" s="5">
        <f>SUM('Invoice Register'!F6:F10)</f>
        <v/>
      </c>
      <c r="C7" s="4" t="inlineStr">
        <is>
          <t>Billing</t>
        </is>
      </c>
    </row>
    <row r="8">
      <c r="A8" s="4" t="inlineStr">
        <is>
          <t>Total Collected</t>
        </is>
      </c>
      <c r="B8" s="5">
        <f>SUM('Collection Register'!F6:F9)</f>
        <v/>
      </c>
      <c r="C8" s="4" t="inlineStr">
        <is>
          <t>Collections</t>
        </is>
      </c>
    </row>
    <row r="9">
      <c r="A9" s="4" t="inlineStr">
        <is>
          <t>Outstanding AR</t>
        </is>
      </c>
      <c r="B9" s="5">
        <f>SUM('Invoice Register'!I6:I10)</f>
        <v/>
      </c>
      <c r="C9" s="4" t="inlineStr">
        <is>
          <t>Receivables</t>
        </is>
      </c>
    </row>
    <row r="10">
      <c r="A10" s="4" t="inlineStr">
        <is>
          <t>Collection Rate</t>
        </is>
      </c>
      <c r="B10" s="6">
        <f>B8/B7</f>
        <v/>
      </c>
      <c r="C10" s="4" t="inlineStr">
        <is>
          <t>Collections</t>
        </is>
      </c>
    </row>
    <row r="11"/>
    <row r="12"/>
    <row r="13">
      <c r="A13" s="7" t="inlineStr">
        <is>
          <t>O2C MANAGEMENT OBSERVATIONS</t>
        </is>
      </c>
    </row>
    <row r="14">
      <c r="A14" t="inlineStr">
        <is>
          <t>Billing records link sales orders to customer invoices.</t>
        </is>
      </c>
    </row>
    <row r="15">
      <c r="A15" t="inlineStr">
        <is>
          <t>Collections are tracked against individual invoices using receipt references.</t>
        </is>
      </c>
    </row>
    <row r="16">
      <c r="A16" t="inlineStr">
        <is>
          <t>Outstanding receivables are separated into ageing buckets for follow-up.</t>
        </is>
      </c>
    </row>
    <row r="17">
      <c r="A17" t="inlineStr">
        <is>
          <t>The dashboard summarizes billing, collection and outstanding receivable performance.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2026-09-21T10:49:43Z</dcterms:created>
  <dcterms:modified xmlns:dcterms="http://purl.org/dc/terms/" xmlns:xsi="http://www.w3.org/2001/XMLSchema-instance" xsi:type="dcterms:W3CDTF">2026-09-21T10:49:43Z</dcterms:modified>
</cp:coreProperties>
</file>