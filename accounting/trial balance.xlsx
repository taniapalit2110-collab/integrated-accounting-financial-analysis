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it &amp; Loss" sheetId="1" r:id="rId5"/>
    <sheet state="visible" name="Balance Sheet" sheetId="2" r:id="rId6"/>
    <sheet state="visible" name="Cash Flow Statement" sheetId="3" r:id="rId7"/>
  </sheets>
  <definedNames/>
  <calcPr/>
</workbook>
</file>

<file path=xl/sharedStrings.xml><?xml version="1.0" encoding="utf-8"?>
<sst xmlns="http://schemas.openxmlformats.org/spreadsheetml/2006/main" count="57" uniqueCount="54">
  <si>
    <t>ABC Trading Pvt. Ltd.</t>
  </si>
  <si>
    <t>Profit &amp; Loss Statement</t>
  </si>
  <si>
    <t>For the Year Ended 31 March 2026</t>
  </si>
  <si>
    <t>REVENUE</t>
  </si>
  <si>
    <t>Sales Revenue</t>
  </si>
  <si>
    <t>Cash Flow Statement</t>
  </si>
  <si>
    <t>Balance Sheet</t>
  </si>
  <si>
    <t>As at 31 March 2026</t>
  </si>
  <si>
    <t>Total Revenue</t>
  </si>
  <si>
    <t>ASSETS</t>
  </si>
  <si>
    <t>CASH FLOWS FROM OPERATING ACTIVITIES</t>
  </si>
  <si>
    <t>Customer Receipts</t>
  </si>
  <si>
    <t>Rent Paid</t>
  </si>
  <si>
    <t>Net Cash from Operating Activities</t>
  </si>
  <si>
    <t>Cash</t>
  </si>
  <si>
    <t>Bank</t>
  </si>
  <si>
    <t>COST OF GOODS SOLD</t>
  </si>
  <si>
    <t>Accounts Receivable</t>
  </si>
  <si>
    <t>Cost of Goods Sold</t>
  </si>
  <si>
    <t>A1:</t>
  </si>
  <si>
    <t>Gross Profit</t>
  </si>
  <si>
    <t>CASH FLOWS FROM INVESTING ACTIVITIES</t>
  </si>
  <si>
    <t>Inventory</t>
  </si>
  <si>
    <t>Purchase of Office Equipment</t>
  </si>
  <si>
    <t>Office Equipment</t>
  </si>
  <si>
    <t>Net Cash from Investing Activities</t>
  </si>
  <si>
    <t>Total Assets</t>
  </si>
  <si>
    <t>CASH FLOWS FROM FINANCING ACTIVITIES</t>
  </si>
  <si>
    <t>Capital Introduced</t>
  </si>
  <si>
    <t>Loan Received</t>
  </si>
  <si>
    <t>OPERATING EXPENSES</t>
  </si>
  <si>
    <t>Net Cash from Financing Activities</t>
  </si>
  <si>
    <t>Rent Expense</t>
  </si>
  <si>
    <t>Salary Expense</t>
  </si>
  <si>
    <t>Electricity Expense</t>
  </si>
  <si>
    <t>Office Expense</t>
  </si>
  <si>
    <t>Transportation Expense</t>
  </si>
  <si>
    <t>Net Increase / (Decrease) in Cash</t>
  </si>
  <si>
    <t>Marketing Expense</t>
  </si>
  <si>
    <t>Total Operating Expenses</t>
  </si>
  <si>
    <t>LIABILITIES</t>
  </si>
  <si>
    <t>Accounts Payable</t>
  </si>
  <si>
    <t>Bank Loan</t>
  </si>
  <si>
    <t>Opening Cash &amp; Bank Balance</t>
  </si>
  <si>
    <t>Closing Cash &amp; Bank Balance</t>
  </si>
  <si>
    <t>Net Profit</t>
  </si>
  <si>
    <t>Total Liabilities</t>
  </si>
  <si>
    <t>CASH FLOW CHECK</t>
  </si>
  <si>
    <t>EQUITY</t>
  </si>
  <si>
    <t>Capital</t>
  </si>
  <si>
    <t>Current Year Profit</t>
  </si>
  <si>
    <t>TOTAL EQUITY</t>
  </si>
  <si>
    <t>TOTAL LIABILITIES + EQUITY</t>
  </si>
  <si>
    <t>BALANCE 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</si>
</sst>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horizontal="right"/>
    </xf>
    <xf borderId="1" fillId="0" fontId="1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readingOrder="0"/>
    </xf>
    <xf borderId="0" fillId="0" fontId="2" numFmtId="3" xfId="0" applyFont="1" applyNumberFormat="1"/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3" fontId="1" numFmtId="0" xfId="0" applyAlignment="1" applyBorder="1" applyFill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16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  <c r="B4" s="3"/>
      <c r="C4" s="4"/>
    </row>
    <row r="5">
      <c r="A5" s="6" t="s">
        <v>4</v>
      </c>
      <c r="B5" s="7">
        <v>75000.0</v>
      </c>
      <c r="C5" s="9"/>
    </row>
    <row r="6">
      <c r="A6" s="6" t="s">
        <v>8</v>
      </c>
      <c r="B6" s="12">
        <f>SUM(B5)</f>
        <v>75000</v>
      </c>
      <c r="C6" s="9"/>
    </row>
    <row r="7">
      <c r="A7" s="1" t="s">
        <v>16</v>
      </c>
      <c r="C7" s="9"/>
    </row>
    <row r="8">
      <c r="A8" s="6" t="s">
        <v>18</v>
      </c>
      <c r="B8" s="7">
        <v>40000.0</v>
      </c>
      <c r="C8" s="9"/>
    </row>
    <row r="9">
      <c r="A9" s="6" t="s">
        <v>20</v>
      </c>
      <c r="B9" s="12">
        <f>B6-B8</f>
        <v>35000</v>
      </c>
      <c r="C9" s="9"/>
    </row>
    <row r="10">
      <c r="A10" s="1" t="s">
        <v>30</v>
      </c>
      <c r="C10" s="9"/>
    </row>
    <row r="11">
      <c r="A11" s="6" t="s">
        <v>32</v>
      </c>
      <c r="B11" s="7">
        <v>10000.0</v>
      </c>
      <c r="C11" s="9"/>
    </row>
    <row r="12">
      <c r="A12" s="6" t="s">
        <v>33</v>
      </c>
      <c r="C12" s="9"/>
    </row>
    <row r="13">
      <c r="A13" s="6" t="s">
        <v>34</v>
      </c>
      <c r="C13" s="9"/>
    </row>
    <row r="14">
      <c r="A14" s="6" t="s">
        <v>35</v>
      </c>
      <c r="C14" s="9"/>
    </row>
    <row r="15">
      <c r="A15" s="6" t="s">
        <v>36</v>
      </c>
      <c r="C15" s="9"/>
    </row>
    <row r="16">
      <c r="A16" s="6" t="s">
        <v>38</v>
      </c>
      <c r="C16" s="9"/>
    </row>
    <row r="17">
      <c r="A17" s="6" t="s">
        <v>39</v>
      </c>
      <c r="B17" s="12">
        <f>SUM(B11:B16)</f>
        <v>10000</v>
      </c>
      <c r="C17" s="9"/>
    </row>
    <row r="18">
      <c r="A18" s="1" t="s">
        <v>45</v>
      </c>
      <c r="B18" s="12">
        <f>MINUS(B9,B17)</f>
        <v>25000</v>
      </c>
      <c r="C18" s="9"/>
    </row>
    <row r="19">
      <c r="C19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4125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</cols>
  <sheetData>
    <row r="1" ht="23.25" customHeight="1">
      <c r="A1" s="2" t="s">
        <v>0</v>
      </c>
      <c r="B1" s="5"/>
    </row>
    <row r="2" ht="19.5" customHeight="1">
      <c r="A2" s="2" t="s">
        <v>6</v>
      </c>
      <c r="B2" s="5"/>
    </row>
    <row r="3" ht="23.25" customHeight="1">
      <c r="A3" s="2" t="s">
        <v>7</v>
      </c>
      <c r="B3" s="5"/>
    </row>
    <row r="4">
      <c r="A4" s="5"/>
      <c r="B4" s="5"/>
    </row>
    <row r="5">
      <c r="A5" s="11" t="s">
        <v>9</v>
      </c>
      <c r="B5" s="5"/>
    </row>
    <row r="6">
      <c r="A6" s="8" t="s">
        <v>14</v>
      </c>
      <c r="B6" s="5"/>
    </row>
    <row r="7">
      <c r="A7" s="8" t="s">
        <v>15</v>
      </c>
      <c r="B7" s="13">
        <v>490000.0</v>
      </c>
    </row>
    <row r="8">
      <c r="A8" s="8" t="s">
        <v>17</v>
      </c>
      <c r="B8" s="13">
        <v>75000.0</v>
      </c>
      <c r="J8" s="6" t="s">
        <v>19</v>
      </c>
    </row>
    <row r="9">
      <c r="A9" s="8" t="s">
        <v>22</v>
      </c>
      <c r="B9" s="13">
        <v>60000.0</v>
      </c>
    </row>
    <row r="10">
      <c r="A10" s="8" t="s">
        <v>24</v>
      </c>
      <c r="B10" s="5"/>
    </row>
    <row r="11">
      <c r="A11" s="2" t="s">
        <v>26</v>
      </c>
      <c r="B11" s="14">
        <f>SUM(B7:B10)</f>
        <v>625000</v>
      </c>
    </row>
    <row r="12">
      <c r="A12" s="5"/>
      <c r="B12" s="5"/>
    </row>
    <row r="13">
      <c r="A13" s="5"/>
      <c r="B13" s="5"/>
    </row>
    <row r="14">
      <c r="A14" s="11" t="s">
        <v>40</v>
      </c>
      <c r="B14" s="5"/>
    </row>
    <row r="15">
      <c r="A15" s="8" t="s">
        <v>41</v>
      </c>
      <c r="B15" s="13">
        <v>100000.0</v>
      </c>
    </row>
    <row r="16">
      <c r="A16" s="8" t="s">
        <v>42</v>
      </c>
      <c r="B16" s="15"/>
    </row>
    <row r="17">
      <c r="A17" s="8" t="s">
        <v>46</v>
      </c>
      <c r="B17" s="15">
        <f>SUM(B15:B16)</f>
        <v>100000</v>
      </c>
    </row>
    <row r="18">
      <c r="A18" s="5"/>
      <c r="B18" s="5"/>
    </row>
    <row r="19">
      <c r="A19" s="11" t="s">
        <v>48</v>
      </c>
      <c r="B19" s="5"/>
    </row>
    <row r="20">
      <c r="A20" s="8" t="s">
        <v>49</v>
      </c>
      <c r="B20" s="8">
        <v>500000.0</v>
      </c>
    </row>
    <row r="21">
      <c r="A21" s="8" t="s">
        <v>50</v>
      </c>
      <c r="B21" s="8">
        <v>25000.0</v>
      </c>
    </row>
    <row r="22">
      <c r="A22" s="8" t="s">
        <v>51</v>
      </c>
      <c r="B22" s="5">
        <f>SUM(B19:B21)</f>
        <v>525000</v>
      </c>
    </row>
    <row r="23">
      <c r="A23" s="5"/>
      <c r="B23" s="5"/>
    </row>
    <row r="24">
      <c r="A24" s="16" t="s">
        <v>52</v>
      </c>
      <c r="B24" s="17">
        <f>B17+B22</f>
        <v>625000</v>
      </c>
    </row>
    <row r="25">
      <c r="A25" s="5"/>
      <c r="B25" s="5"/>
    </row>
    <row r="26">
      <c r="A26" s="8" t="s">
        <v>53</v>
      </c>
      <c r="B26" s="5" t="str">
        <f>IF(B11=B24, "BALANCED", "ERROR")</f>
        <v>BALANCED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41.38"/>
  </cols>
  <sheetData>
    <row r="1" ht="25.5" customHeight="1">
      <c r="A1" s="2" t="s">
        <v>0</v>
      </c>
      <c r="B1" s="5"/>
    </row>
    <row r="2">
      <c r="A2" s="8" t="s">
        <v>5</v>
      </c>
      <c r="B2" s="5"/>
    </row>
    <row r="3">
      <c r="A3" s="8" t="s">
        <v>2</v>
      </c>
      <c r="B3" s="5"/>
    </row>
    <row r="4">
      <c r="A4" s="10"/>
      <c r="B4" s="5"/>
    </row>
    <row r="5">
      <c r="A5" s="2" t="s">
        <v>10</v>
      </c>
      <c r="B5" s="5"/>
    </row>
    <row r="6">
      <c r="A6" s="8" t="s">
        <v>11</v>
      </c>
      <c r="B6" s="5"/>
    </row>
    <row r="7">
      <c r="A7" s="8" t="s">
        <v>12</v>
      </c>
      <c r="B7" s="8">
        <v>-10000.0</v>
      </c>
    </row>
    <row r="8" ht="19.5" customHeight="1">
      <c r="A8" s="8" t="s">
        <v>13</v>
      </c>
      <c r="B8" s="5">
        <f>SUM(B6,B7)</f>
        <v>-10000</v>
      </c>
    </row>
    <row r="9">
      <c r="A9" s="2" t="s">
        <v>21</v>
      </c>
      <c r="B9" s="5"/>
    </row>
    <row r="10">
      <c r="A10" s="8" t="s">
        <v>23</v>
      </c>
      <c r="B10" s="5"/>
    </row>
    <row r="11" ht="27.75" customHeight="1">
      <c r="A11" s="8" t="s">
        <v>25</v>
      </c>
      <c r="B11" s="5">
        <f>SUM(B10)</f>
        <v>0</v>
      </c>
    </row>
    <row r="12">
      <c r="A12" s="2" t="s">
        <v>27</v>
      </c>
      <c r="B12" s="5"/>
    </row>
    <row r="13">
      <c r="A13" s="8" t="s">
        <v>28</v>
      </c>
      <c r="B13" s="8">
        <v>500000.0</v>
      </c>
    </row>
    <row r="14">
      <c r="A14" s="8" t="s">
        <v>29</v>
      </c>
      <c r="B14" s="8">
        <v>0.0</v>
      </c>
    </row>
    <row r="15">
      <c r="A15" s="8" t="s">
        <v>31</v>
      </c>
      <c r="B15" s="5">
        <f>SUM(B13:B14)</f>
        <v>500000</v>
      </c>
    </row>
    <row r="16">
      <c r="A16" s="8" t="s">
        <v>37</v>
      </c>
      <c r="B16" s="5">
        <f>B8+B11+B15</f>
        <v>490000</v>
      </c>
    </row>
    <row r="17">
      <c r="A17" s="8" t="s">
        <v>43</v>
      </c>
      <c r="B17" s="8">
        <v>0.0</v>
      </c>
    </row>
    <row r="18">
      <c r="A18" s="8" t="s">
        <v>44</v>
      </c>
      <c r="B18" s="5">
        <f>B16+B17</f>
        <v>490000</v>
      </c>
    </row>
    <row r="19">
      <c r="A19" s="2" t="s">
        <v>47</v>
      </c>
      <c r="B19" s="5" t="str">
        <f>IF(B18=490000,"BALANCED","ERROR")</f>
        <v>BALANCED</v>
      </c>
    </row>
  </sheetData>
  <drawing r:id="rId1"/>
</worksheet>
</file>