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<sst xmlns="http://schemas.openxmlformats.org/spreadsheetml/2006/main" count="16" uniqueCount="16">
  <si>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ABC Trading Pvt. Ltd.</t>
  </si>
  <si>
    <t>Bank Reconciliation Statement</t>
  </si>
  <si>
    <t>As at 31 March 2026</t>
  </si>
  <si>
    <t>Particulars</t>
  </si>
  <si>
    <t>Amount (₹)</t>
  </si>
  <si>
    <t>Balance as per Cash Book</t>
  </si>
  <si>
    <t>Add: Direct Deposit by Customer</t>
  </si>
  <si>
    <t>Add: Interest Credited by Bank</t>
  </si>
  <si>
    <t>Less: Bank Charges</t>
  </si>
  <si>
    <t>Less: Direct Debit / Standing Instruction</t>
  </si>
  <si>
    <t>Add/Less: Outstanding Cheques</t>
  </si>
  <si>
    <t>Adjusted Cash Book Balance</t>
  </si>
  <si>
    <t>BANK STATEMENT BALANCE</t>
  </si>
  <si>
    <t>Balance as per Bank Statement</t>
  </si>
  <si>
    <t>Reconciliation Difference</t>
  </si>
  <si>
    <t>BANK RECONCILIATION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</si>
</sst>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/>
      <c r="B4" s="3"/>
    </row>
    <row r="5">
      <c r="A5" s="4" t="s">
        <v>3</v>
      </c>
      <c r="B5" s="5" t="s">
        <v>4</v>
      </c>
    </row>
    <row r="6">
      <c r="A6" s="4" t="s">
        <v>5</v>
      </c>
      <c r="B6" s="5">
        <v>490000.0</v>
      </c>
    </row>
    <row r="7">
      <c r="A7" s="4" t="s">
        <v>6</v>
      </c>
      <c r="B7" s="5">
        <v>15000.0</v>
      </c>
    </row>
    <row r="8">
      <c r="A8" s="4" t="s">
        <v>7</v>
      </c>
      <c r="B8" s="5">
        <v>2000.0</v>
      </c>
    </row>
    <row r="9">
      <c r="A9" s="4" t="s">
        <v>8</v>
      </c>
      <c r="B9" s="5">
        <v>1000.0</v>
      </c>
    </row>
    <row r="10">
      <c r="A10" s="4" t="s">
        <v>9</v>
      </c>
      <c r="B10" s="5">
        <v>5000.0</v>
      </c>
    </row>
    <row r="11">
      <c r="A11" s="4" t="s">
        <v>10</v>
      </c>
      <c r="B11" s="5">
        <v>10000.0</v>
      </c>
    </row>
    <row r="12">
      <c r="A12" s="4" t="s">
        <v>11</v>
      </c>
      <c r="B12" s="6">
        <f>B6+B7+B8-B9-B10+B11</f>
        <v>511000</v>
      </c>
    </row>
    <row r="14">
      <c r="A14" s="4" t="s">
        <v>12</v>
      </c>
    </row>
    <row r="15">
      <c r="A15" s="4" t="s">
        <v>13</v>
      </c>
      <c r="B15" s="4">
        <v>511000.0</v>
      </c>
    </row>
    <row r="16">
      <c r="A16" s="4" t="s">
        <v>14</v>
      </c>
      <c r="B16" s="7">
        <f>B12-B15</f>
        <v>0</v>
      </c>
    </row>
    <row r="18">
      <c r="A18" s="4" t="s">
        <v>15</v>
      </c>
      <c r="B18" s="7" t="str">
        <f>IF(B16=0,"RECONCILED","ERROR")</f>
        <v>RECONCILED</v>
      </c>
    </row>
  </sheetData>
  <drawing r:id="rId1"/>
</worksheet>
</file>