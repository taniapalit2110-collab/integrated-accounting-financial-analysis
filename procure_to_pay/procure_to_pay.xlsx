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  <sheet xmlns:r="http://schemas.openxmlformats.org/officeDocument/2006/relationships" name="Purchase Orders" sheetId="2" state="visible" r:id="rId2"/>
    <sheet xmlns:r="http://schemas.openxmlformats.org/officeDocument/2006/relationships" name="AP Invoice Register" sheetId="3" state="visible" r:id="rId3"/>
    <sheet xmlns:r="http://schemas.openxmlformats.org/officeDocument/2006/relationships" name="Payment Register" sheetId="4" state="visible" r:id="rId4"/>
    <sheet xmlns:r="http://schemas.openxmlformats.org/officeDocument/2006/relationships" name="3-Way Match" sheetId="5" state="visible" r:id="rId5"/>
    <sheet xmlns:r="http://schemas.openxmlformats.org/officeDocument/2006/relationships" name="AP Ageing" sheetId="6" state="visible" r:id="rId6"/>
    <sheet xmlns:r="http://schemas.openxmlformats.org/officeDocument/2006/relationships" name="P2P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-₹#,##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  <color rgb="00FFFFFF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2PVendors" displayName="P2PVendors" ref="A5:E10" headerRowCount="1">
  <autoFilter ref="A5:E10"/>
  <tableColumns count="5">
    <tableColumn id="1" name="Vendor ID"/>
    <tableColumn id="2" name="Vendor Name"/>
    <tableColumn id="3" name="Vendor Type"/>
    <tableColumn id="4" name="Payment Terms"/>
    <tableColumn id="5" name="Bank 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2POs" displayName="P2POs" ref="A5:I10" headerRowCount="1">
  <autoFilter ref="A5:I10"/>
  <tableColumns count="9">
    <tableColumn id="1" name="PO No."/>
    <tableColumn id="2" name="PO Date"/>
    <tableColumn id="3" name="Vendor ID"/>
    <tableColumn id="4" name="Vendor Name"/>
    <tableColumn id="5" name="Description"/>
    <tableColumn id="6" name="Quantity"/>
    <tableColumn id="7" name="Unit Price"/>
    <tableColumn id="8" name="PO Value"/>
    <tableColumn id="9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2PAPInvoices" displayName="P2PAPInvoices" ref="A5:J10" headerRowCount="1">
  <autoFilter ref="A5:J10"/>
  <tableColumns count="10">
    <tableColumn id="1" name="Invoice No."/>
    <tableColumn id="2" name="Invoice Date"/>
    <tableColumn id="3" name="PO No."/>
    <tableColumn id="4" name="Vendor ID"/>
    <tableColumn id="5" name="Vendor Name"/>
    <tableColumn id="6" name="Invoice Amount"/>
    <tableColumn id="7" name="Due Date"/>
    <tableColumn id="8" name="Amount Paid"/>
    <tableColumn id="9" name="Outstanding"/>
    <tableColumn id="10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2PPayments" displayName="P2PPayments" ref="A5:H8" headerRowCount="1">
  <autoFilter ref="A5:H8"/>
  <tableColumns count="8">
    <tableColumn id="1" name="Payment ID"/>
    <tableColumn id="2" name="Payment Date"/>
    <tableColumn id="3" name="Vendor ID"/>
    <tableColumn id="4" name="Vendor Name"/>
    <tableColumn id="5" name="Invoice No."/>
    <tableColumn id="6" name="Amount Paid"/>
    <tableColumn id="7" name="Payment Method"/>
    <tableColumn id="8" name="Referenc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P2PMatch" displayName="P2PMatch" ref="A5:H10" headerRowCount="1">
  <autoFilter ref="A5:H10"/>
  <tableColumns count="8">
    <tableColumn id="1" name="Invoice No."/>
    <tableColumn id="2" name="PO No."/>
    <tableColumn id="3" name="PO Value"/>
    <tableColumn id="4" name="Invoice Value"/>
    <tableColumn id="5" name="Receipt Confirmed"/>
    <tableColumn id="6" name="Price Match"/>
    <tableColumn id="7" name="Quantity/Receipt Match"/>
    <tableColumn id="8" name="Overall Match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2PAgeing" displayName="P2PAgeing" ref="A5:F8" headerRowCount="1">
  <autoFilter ref="A5:F8"/>
  <tableColumns count="6">
    <tableColumn id="1" name="Invoice No."/>
    <tableColumn id="2" name="Vendor"/>
    <tableColumn id="3" name="Due Date"/>
    <tableColumn id="4" name="Outstanding"/>
    <tableColumn id="5" name="Days Outstanding"/>
    <tableColumn id="6" name="Ageing Bucke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15" customWidth="1" min="4" max="4"/>
    <col width="16" customWidth="1" min="5" max="5"/>
  </cols>
  <sheetData>
    <row r="1">
      <c r="A1" s="1" t="inlineStr">
        <is>
          <t>ABC Trading Pvt. Ltd.</t>
        </is>
      </c>
    </row>
    <row r="2">
      <c r="A2" s="2" t="inlineStr">
        <is>
          <t>Procure-to-Pay (P2P) Portfolio</t>
        </is>
      </c>
    </row>
    <row r="3">
      <c r="A3" s="3" t="inlineStr">
        <is>
          <t>Vendor, purchase order, invoice, payment and AP ageing workflow</t>
        </is>
      </c>
    </row>
    <row r="4"/>
    <row r="5">
      <c r="A5" s="4" t="inlineStr">
        <is>
          <t>Vendor ID</t>
        </is>
      </c>
      <c r="B5" s="4" t="inlineStr">
        <is>
          <t>Vendor Name</t>
        </is>
      </c>
      <c r="C5" s="4" t="inlineStr">
        <is>
          <t>Vendor Type</t>
        </is>
      </c>
      <c r="D5" s="4" t="inlineStr">
        <is>
          <t>Payment Terms</t>
        </is>
      </c>
      <c r="E5" s="4" t="inlineStr">
        <is>
          <t>Bank Status</t>
        </is>
      </c>
    </row>
    <row r="6">
      <c r="A6" s="4" t="inlineStr">
        <is>
          <t>V001</t>
        </is>
      </c>
      <c r="B6" s="4" t="inlineStr">
        <is>
          <t>Office Supplies Co.</t>
        </is>
      </c>
      <c r="C6" s="4" t="inlineStr">
        <is>
          <t>Office Supplies</t>
        </is>
      </c>
      <c r="D6" s="4" t="inlineStr">
        <is>
          <t>30 Days</t>
        </is>
      </c>
      <c r="E6" s="4" t="inlineStr">
        <is>
          <t>Verified</t>
        </is>
      </c>
    </row>
    <row r="7">
      <c r="A7" s="4" t="inlineStr">
        <is>
          <t>V002</t>
        </is>
      </c>
      <c r="B7" s="4" t="inlineStr">
        <is>
          <t>Tech Hardware Ltd.</t>
        </is>
      </c>
      <c r="C7" s="4" t="inlineStr">
        <is>
          <t>IT Equipment</t>
        </is>
      </c>
      <c r="D7" s="4" t="inlineStr">
        <is>
          <t>45 Days</t>
        </is>
      </c>
      <c r="E7" s="4" t="inlineStr">
        <is>
          <t>Verified</t>
        </is>
      </c>
    </row>
    <row r="8">
      <c r="A8" s="4" t="inlineStr">
        <is>
          <t>V003</t>
        </is>
      </c>
      <c r="B8" s="4" t="inlineStr">
        <is>
          <t>Logistics Partner</t>
        </is>
      </c>
      <c r="C8" s="4" t="inlineStr">
        <is>
          <t>Logistics</t>
        </is>
      </c>
      <c r="D8" s="4" t="inlineStr">
        <is>
          <t>30 Days</t>
        </is>
      </c>
      <c r="E8" s="4" t="inlineStr">
        <is>
          <t>Verified</t>
        </is>
      </c>
    </row>
    <row r="9">
      <c r="A9" s="4" t="inlineStr">
        <is>
          <t>V004</t>
        </is>
      </c>
      <c r="B9" s="4" t="inlineStr">
        <is>
          <t>Facility Services</t>
        </is>
      </c>
      <c r="C9" s="4" t="inlineStr">
        <is>
          <t>Facilities</t>
        </is>
      </c>
      <c r="D9" s="4" t="inlineStr">
        <is>
          <t>30 Days</t>
        </is>
      </c>
      <c r="E9" s="4" t="inlineStr">
        <is>
          <t>Verified</t>
        </is>
      </c>
    </row>
    <row r="10">
      <c r="A10" s="4" t="inlineStr">
        <is>
          <t>V005</t>
        </is>
      </c>
      <c r="B10" s="4" t="inlineStr">
        <is>
          <t>Marketing Solutions</t>
        </is>
      </c>
      <c r="C10" s="4" t="inlineStr">
        <is>
          <t>Marketing</t>
        </is>
      </c>
      <c r="D10" s="4" t="inlineStr">
        <is>
          <t>45 Days</t>
        </is>
      </c>
      <c r="E10" s="4" t="inlineStr">
        <is>
          <t>Pending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38" customWidth="1" min="4" max="4"/>
    <col width="2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ABC Trading Pvt. Ltd.</t>
        </is>
      </c>
    </row>
    <row r="2">
      <c r="A2" s="2" t="inlineStr">
        <is>
          <t>Purchase Orders</t>
        </is>
      </c>
    </row>
    <row r="3"/>
    <row r="4"/>
    <row r="5">
      <c r="A5" s="4" t="inlineStr">
        <is>
          <t>PO No.</t>
        </is>
      </c>
      <c r="B5" s="4" t="inlineStr">
        <is>
          <t>PO Date</t>
        </is>
      </c>
      <c r="C5" s="4" t="inlineStr">
        <is>
          <t>Vendor ID</t>
        </is>
      </c>
      <c r="D5" s="4" t="inlineStr">
        <is>
          <t>Vendor Name</t>
        </is>
      </c>
      <c r="E5" s="4" t="inlineStr">
        <is>
          <t>Description</t>
        </is>
      </c>
      <c r="F5" s="4" t="inlineStr">
        <is>
          <t>Quantity</t>
        </is>
      </c>
      <c r="G5" s="4" t="inlineStr">
        <is>
          <t>Unit Price</t>
        </is>
      </c>
      <c r="H5" s="4" t="inlineStr">
        <is>
          <t>PO Value</t>
        </is>
      </c>
      <c r="I5" s="4" t="inlineStr">
        <is>
          <t>Status</t>
        </is>
      </c>
    </row>
    <row r="6">
      <c r="A6" s="4" t="inlineStr">
        <is>
          <t>PO-001</t>
        </is>
      </c>
      <c r="B6" s="4" t="inlineStr">
        <is>
          <t>2026-01-05</t>
        </is>
      </c>
      <c r="C6" s="4" t="inlineStr">
        <is>
          <t>V001</t>
        </is>
      </c>
      <c r="D6" s="4">
        <f>INDEX('Vendor Master'!B6:B10,MATCH(C6,'Vendor Master'!A6:A10,0))</f>
        <v/>
      </c>
      <c r="E6" s="4" t="inlineStr">
        <is>
          <t>Office Supplies</t>
        </is>
      </c>
      <c r="F6" s="4" t="n">
        <v>20</v>
      </c>
      <c r="G6" s="5" t="n">
        <v>1000</v>
      </c>
      <c r="H6" s="5">
        <f>F6*G6</f>
        <v/>
      </c>
      <c r="I6" s="4" t="inlineStr">
        <is>
          <t>Received</t>
        </is>
      </c>
    </row>
    <row r="7">
      <c r="A7" s="4" t="inlineStr">
        <is>
          <t>PO-002</t>
        </is>
      </c>
      <c r="B7" s="4" t="inlineStr">
        <is>
          <t>2026-01-15</t>
        </is>
      </c>
      <c r="C7" s="4" t="inlineStr">
        <is>
          <t>V002</t>
        </is>
      </c>
      <c r="D7" s="4">
        <f>INDEX('Vendor Master'!B6:B10,MATCH(C7,'Vendor Master'!A6:A10,0))</f>
        <v/>
      </c>
      <c r="E7" s="4" t="inlineStr">
        <is>
          <t>Laptops</t>
        </is>
      </c>
      <c r="F7" s="4" t="n">
        <v>5</v>
      </c>
      <c r="G7" s="5" t="n">
        <v>30000</v>
      </c>
      <c r="H7" s="5">
        <f>F7*G7</f>
        <v/>
      </c>
      <c r="I7" s="4" t="inlineStr">
        <is>
          <t>Received</t>
        </is>
      </c>
    </row>
    <row r="8">
      <c r="A8" s="4" t="inlineStr">
        <is>
          <t>PO-003</t>
        </is>
      </c>
      <c r="B8" s="4" t="inlineStr">
        <is>
          <t>2026-02-10</t>
        </is>
      </c>
      <c r="C8" s="4" t="inlineStr">
        <is>
          <t>V003</t>
        </is>
      </c>
      <c r="D8" s="4">
        <f>INDEX('Vendor Master'!B6:B10,MATCH(C8,'Vendor Master'!A6:A10,0))</f>
        <v/>
      </c>
      <c r="E8" s="4" t="inlineStr">
        <is>
          <t>Freight Services</t>
        </is>
      </c>
      <c r="F8" s="4" t="n">
        <v>1</v>
      </c>
      <c r="G8" s="5" t="n">
        <v>15000</v>
      </c>
      <c r="H8" s="5">
        <f>F8*G8</f>
        <v/>
      </c>
      <c r="I8" s="4" t="inlineStr">
        <is>
          <t>Received</t>
        </is>
      </c>
    </row>
    <row r="9">
      <c r="A9" s="4" t="inlineStr">
        <is>
          <t>PO-004</t>
        </is>
      </c>
      <c r="B9" s="4" t="inlineStr">
        <is>
          <t>2026-02-20</t>
        </is>
      </c>
      <c r="C9" s="4" t="inlineStr">
        <is>
          <t>V004</t>
        </is>
      </c>
      <c r="D9" s="4">
        <f>INDEX('Vendor Master'!B6:B10,MATCH(C9,'Vendor Master'!A6:A10,0))</f>
        <v/>
      </c>
      <c r="E9" s="4" t="inlineStr">
        <is>
          <t>Facility Maintenance</t>
        </is>
      </c>
      <c r="F9" s="4" t="n">
        <v>1</v>
      </c>
      <c r="G9" s="5" t="n">
        <v>25000</v>
      </c>
      <c r="H9" s="5">
        <f>F9*G9</f>
        <v/>
      </c>
      <c r="I9" s="4" t="inlineStr">
        <is>
          <t>Received</t>
        </is>
      </c>
    </row>
    <row r="10">
      <c r="A10" s="4" t="inlineStr">
        <is>
          <t>PO-005</t>
        </is>
      </c>
      <c r="B10" s="4" t="inlineStr">
        <is>
          <t>2026-03-05</t>
        </is>
      </c>
      <c r="C10" s="4" t="inlineStr">
        <is>
          <t>V005</t>
        </is>
      </c>
      <c r="D10" s="4">
        <f>INDEX('Vendor Master'!B6:B10,MATCH(C10,'Vendor Master'!A6:A10,0))</f>
        <v/>
      </c>
      <c r="E10" s="4" t="inlineStr">
        <is>
          <t>Marketing Services</t>
        </is>
      </c>
      <c r="F10" s="4" t="n">
        <v>1</v>
      </c>
      <c r="G10" s="5" t="n">
        <v>20000</v>
      </c>
      <c r="H10" s="5">
        <f>F10*G10</f>
        <v/>
      </c>
      <c r="I10" s="4" t="inlineStr">
        <is>
          <t>Pending Approval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2" customWidth="1" min="4" max="4"/>
    <col width="38" customWidth="1" min="5" max="5"/>
    <col width="16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ABC Trading Pvt. Ltd.</t>
        </is>
      </c>
    </row>
    <row r="2">
      <c r="A2" s="2" t="inlineStr">
        <is>
          <t>AP Invoice Register</t>
        </is>
      </c>
    </row>
    <row r="3"/>
    <row r="4"/>
    <row r="5">
      <c r="A5" s="4" t="inlineStr">
        <is>
          <t>Invoice No.</t>
        </is>
      </c>
      <c r="B5" s="4" t="inlineStr">
        <is>
          <t>Invoice Date</t>
        </is>
      </c>
      <c r="C5" s="4" t="inlineStr">
        <is>
          <t>PO No.</t>
        </is>
      </c>
      <c r="D5" s="4" t="inlineStr">
        <is>
          <t>Vendor ID</t>
        </is>
      </c>
      <c r="E5" s="4" t="inlineStr">
        <is>
          <t>Vendor Name</t>
        </is>
      </c>
      <c r="F5" s="4" t="inlineStr">
        <is>
          <t>Invoice Amount</t>
        </is>
      </c>
      <c r="G5" s="4" t="inlineStr">
        <is>
          <t>Due Date</t>
        </is>
      </c>
      <c r="H5" s="4" t="inlineStr">
        <is>
          <t>Amount Paid</t>
        </is>
      </c>
      <c r="I5" s="4" t="inlineStr">
        <is>
          <t>Outstanding</t>
        </is>
      </c>
      <c r="J5" s="4" t="inlineStr">
        <is>
          <t>Status</t>
        </is>
      </c>
    </row>
    <row r="6">
      <c r="A6" s="4" t="inlineStr">
        <is>
          <t>PINV-001</t>
        </is>
      </c>
      <c r="B6" s="4" t="inlineStr">
        <is>
          <t>2026-01-12</t>
        </is>
      </c>
      <c r="C6" s="4" t="inlineStr">
        <is>
          <t>PO-001</t>
        </is>
      </c>
      <c r="D6" s="4" t="inlineStr">
        <is>
          <t>V001</t>
        </is>
      </c>
      <c r="E6" s="4">
        <f>INDEX('Vendor Master'!B6:B10,MATCH(D6,'Vendor Master'!A6:A10,0))</f>
        <v/>
      </c>
      <c r="F6" s="5" t="n">
        <v>20000</v>
      </c>
      <c r="G6" s="4" t="inlineStr">
        <is>
          <t>2026-02-11</t>
        </is>
      </c>
      <c r="H6" s="5" t="n">
        <v>20000</v>
      </c>
      <c r="I6" s="5">
        <f>F6-H6</f>
        <v/>
      </c>
      <c r="J6" s="4" t="inlineStr">
        <is>
          <t>Paid</t>
        </is>
      </c>
    </row>
    <row r="7">
      <c r="A7" s="4" t="inlineStr">
        <is>
          <t>PINV-002</t>
        </is>
      </c>
      <c r="B7" s="4" t="inlineStr">
        <is>
          <t>2026-01-22</t>
        </is>
      </c>
      <c r="C7" s="4" t="inlineStr">
        <is>
          <t>PO-002</t>
        </is>
      </c>
      <c r="D7" s="4" t="inlineStr">
        <is>
          <t>V002</t>
        </is>
      </c>
      <c r="E7" s="4">
        <f>INDEX('Vendor Master'!B6:B10,MATCH(D7,'Vendor Master'!A6:A10,0))</f>
        <v/>
      </c>
      <c r="F7" s="5" t="n">
        <v>150000</v>
      </c>
      <c r="G7" s="4" t="inlineStr">
        <is>
          <t>2026-03-08</t>
        </is>
      </c>
      <c r="H7" s="5" t="n">
        <v>100000</v>
      </c>
      <c r="I7" s="5">
        <f>F7-H7</f>
        <v/>
      </c>
      <c r="J7" s="4" t="inlineStr">
        <is>
          <t>Partially Paid</t>
        </is>
      </c>
    </row>
    <row r="8">
      <c r="A8" s="4" t="inlineStr">
        <is>
          <t>PINV-003</t>
        </is>
      </c>
      <c r="B8" s="4" t="inlineStr">
        <is>
          <t>2026-02-15</t>
        </is>
      </c>
      <c r="C8" s="4" t="inlineStr">
        <is>
          <t>PO-003</t>
        </is>
      </c>
      <c r="D8" s="4" t="inlineStr">
        <is>
          <t>V003</t>
        </is>
      </c>
      <c r="E8" s="4">
        <f>INDEX('Vendor Master'!B6:B10,MATCH(D8,'Vendor Master'!A6:A10,0))</f>
        <v/>
      </c>
      <c r="F8" s="5" t="n">
        <v>15000</v>
      </c>
      <c r="G8" s="4" t="inlineStr">
        <is>
          <t>2026-03-17</t>
        </is>
      </c>
      <c r="H8" s="5" t="n">
        <v>15000</v>
      </c>
      <c r="I8" s="5">
        <f>F8-H8</f>
        <v/>
      </c>
      <c r="J8" s="4" t="inlineStr">
        <is>
          <t>Paid</t>
        </is>
      </c>
    </row>
    <row r="9">
      <c r="A9" s="4" t="inlineStr">
        <is>
          <t>PINV-004</t>
        </is>
      </c>
      <c r="B9" s="4" t="inlineStr">
        <is>
          <t>2026-02-25</t>
        </is>
      </c>
      <c r="C9" s="4" t="inlineStr">
        <is>
          <t>PO-004</t>
        </is>
      </c>
      <c r="D9" s="4" t="inlineStr">
        <is>
          <t>V004</t>
        </is>
      </c>
      <c r="E9" s="4">
        <f>INDEX('Vendor Master'!B6:B10,MATCH(D9,'Vendor Master'!A6:A10,0))</f>
        <v/>
      </c>
      <c r="F9" s="5" t="n">
        <v>25000</v>
      </c>
      <c r="G9" s="4" t="inlineStr">
        <is>
          <t>2026-03-27</t>
        </is>
      </c>
      <c r="H9" s="5" t="n">
        <v>0</v>
      </c>
      <c r="I9" s="5">
        <f>F9-H9</f>
        <v/>
      </c>
      <c r="J9" s="4" t="inlineStr">
        <is>
          <t>Outstanding</t>
        </is>
      </c>
    </row>
    <row r="10">
      <c r="A10" s="4" t="inlineStr">
        <is>
          <t>PINV-005</t>
        </is>
      </c>
      <c r="B10" s="4" t="inlineStr">
        <is>
          <t>2026-03-10</t>
        </is>
      </c>
      <c r="C10" s="4" t="inlineStr">
        <is>
          <t>PO-005</t>
        </is>
      </c>
      <c r="D10" s="4" t="inlineStr">
        <is>
          <t>V005</t>
        </is>
      </c>
      <c r="E10" s="4">
        <f>INDEX('Vendor Master'!B6:B10,MATCH(D10,'Vendor Master'!A6:A10,0))</f>
        <v/>
      </c>
      <c r="F10" s="5" t="n">
        <v>20000</v>
      </c>
      <c r="G10" s="4" t="inlineStr">
        <is>
          <t>2026-04-24</t>
        </is>
      </c>
      <c r="H10" s="5" t="n">
        <v>0</v>
      </c>
      <c r="I10" s="5">
        <f>F10-H10</f>
        <v/>
      </c>
      <c r="J10" s="4" t="inlineStr">
        <is>
          <t>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38" customWidth="1" min="4" max="4"/>
    <col width="13" customWidth="1" min="5" max="5"/>
    <col width="13" customWidth="1" min="6" max="6"/>
    <col width="16" customWidth="1" min="7" max="7"/>
    <col width="12" customWidth="1" min="8" max="8"/>
  </cols>
  <sheetData>
    <row r="1">
      <c r="A1" s="1" t="inlineStr">
        <is>
          <t>ABC Trading Pvt. Ltd.</t>
        </is>
      </c>
    </row>
    <row r="2">
      <c r="A2" s="2" t="inlineStr">
        <is>
          <t>Payment Register</t>
        </is>
      </c>
    </row>
    <row r="3"/>
    <row r="4"/>
    <row r="5">
      <c r="A5" s="4" t="inlineStr">
        <is>
          <t>Payment ID</t>
        </is>
      </c>
      <c r="B5" s="4" t="inlineStr">
        <is>
          <t>Payment Date</t>
        </is>
      </c>
      <c r="C5" s="4" t="inlineStr">
        <is>
          <t>Vendor ID</t>
        </is>
      </c>
      <c r="D5" s="4" t="inlineStr">
        <is>
          <t>Vendor Name</t>
        </is>
      </c>
      <c r="E5" s="4" t="inlineStr">
        <is>
          <t>Invoice No.</t>
        </is>
      </c>
      <c r="F5" s="4" t="inlineStr">
        <is>
          <t>Amount Paid</t>
        </is>
      </c>
      <c r="G5" s="4" t="inlineStr">
        <is>
          <t>Payment Method</t>
        </is>
      </c>
      <c r="H5" s="4" t="inlineStr">
        <is>
          <t>Reference</t>
        </is>
      </c>
    </row>
    <row r="6">
      <c r="A6" s="4" t="inlineStr">
        <is>
          <t>PAY-001</t>
        </is>
      </c>
      <c r="B6" s="4" t="inlineStr">
        <is>
          <t>2026-01-30</t>
        </is>
      </c>
      <c r="C6" s="4" t="inlineStr">
        <is>
          <t>V001</t>
        </is>
      </c>
      <c r="D6" s="4">
        <f>INDEX('Vendor Master'!B6:B10,MATCH(C6,'Vendor Master'!A6:A10,0))</f>
        <v/>
      </c>
      <c r="E6" s="4" t="inlineStr">
        <is>
          <t>PINV-001</t>
        </is>
      </c>
      <c r="F6" s="5" t="n">
        <v>20000</v>
      </c>
      <c r="G6" s="4" t="inlineStr">
        <is>
          <t>Bank Transfer</t>
        </is>
      </c>
      <c r="H6" s="4" t="inlineStr">
        <is>
          <t>UTR-001</t>
        </is>
      </c>
    </row>
    <row r="7">
      <c r="A7" s="4" t="inlineStr">
        <is>
          <t>PAY-002</t>
        </is>
      </c>
      <c r="B7" s="4" t="inlineStr">
        <is>
          <t>2026-02-28</t>
        </is>
      </c>
      <c r="C7" s="4" t="inlineStr">
        <is>
          <t>V002</t>
        </is>
      </c>
      <c r="D7" s="4">
        <f>INDEX('Vendor Master'!B6:B10,MATCH(C7,'Vendor Master'!A6:A10,0))</f>
        <v/>
      </c>
      <c r="E7" s="4" t="inlineStr">
        <is>
          <t>PINV-002</t>
        </is>
      </c>
      <c r="F7" s="5" t="n">
        <v>100000</v>
      </c>
      <c r="G7" s="4" t="inlineStr">
        <is>
          <t>Bank Transfer</t>
        </is>
      </c>
      <c r="H7" s="4" t="inlineStr">
        <is>
          <t>UTR-002</t>
        </is>
      </c>
    </row>
    <row r="8">
      <c r="A8" s="4" t="inlineStr">
        <is>
          <t>PAY-003</t>
        </is>
      </c>
      <c r="B8" s="4" t="inlineStr">
        <is>
          <t>2026-03-20</t>
        </is>
      </c>
      <c r="C8" s="4" t="inlineStr">
        <is>
          <t>V003</t>
        </is>
      </c>
      <c r="D8" s="4">
        <f>INDEX('Vendor Master'!B6:B10,MATCH(C8,'Vendor Master'!A6:A10,0))</f>
        <v/>
      </c>
      <c r="E8" s="4" t="inlineStr">
        <is>
          <t>PINV-003</t>
        </is>
      </c>
      <c r="F8" s="5" t="n">
        <v>15000</v>
      </c>
      <c r="G8" s="4" t="inlineStr">
        <is>
          <t>Bank Transfer</t>
        </is>
      </c>
      <c r="H8" s="4" t="inlineStr">
        <is>
          <t>UTR-003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5" customWidth="1" min="4" max="4"/>
    <col width="19" customWidth="1" min="5" max="5"/>
    <col width="13" customWidth="1" min="6" max="6"/>
    <col width="24" customWidth="1" min="7" max="7"/>
    <col width="38" customWidth="1" min="8" max="8"/>
  </cols>
  <sheetData>
    <row r="1">
      <c r="A1" s="1" t="inlineStr">
        <is>
          <t>ABC Trading Pvt. Ltd.</t>
        </is>
      </c>
    </row>
    <row r="2">
      <c r="A2" s="2" t="inlineStr">
        <is>
          <t>3-Way Match Control</t>
        </is>
      </c>
    </row>
    <row r="3">
      <c r="A3" s="3" t="inlineStr">
        <is>
          <t>Purchase Order → Receipt → Invoice validation</t>
        </is>
      </c>
    </row>
    <row r="4"/>
    <row r="5">
      <c r="A5" s="4" t="inlineStr">
        <is>
          <t>Invoice No.</t>
        </is>
      </c>
      <c r="B5" s="4" t="inlineStr">
        <is>
          <t>PO No.</t>
        </is>
      </c>
      <c r="C5" s="4" t="inlineStr">
        <is>
          <t>PO Value</t>
        </is>
      </c>
      <c r="D5" s="4" t="inlineStr">
        <is>
          <t>Invoice Value</t>
        </is>
      </c>
      <c r="E5" s="4" t="inlineStr">
        <is>
          <t>Receipt Confirmed</t>
        </is>
      </c>
      <c r="F5" s="4" t="inlineStr">
        <is>
          <t>Price Match</t>
        </is>
      </c>
      <c r="G5" s="4" t="inlineStr">
        <is>
          <t>Quantity/Receipt Match</t>
        </is>
      </c>
      <c r="H5" s="4" t="inlineStr">
        <is>
          <t>Overall Match</t>
        </is>
      </c>
    </row>
    <row r="6">
      <c r="A6" s="4" t="inlineStr">
        <is>
          <t>PINV-001</t>
        </is>
      </c>
      <c r="B6" s="4" t="inlineStr">
        <is>
          <t>PO-001</t>
        </is>
      </c>
      <c r="C6" s="5" t="n">
        <v>20000</v>
      </c>
      <c r="D6" s="5" t="n">
        <v>20000</v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>
        <f>IF(AND(E6="Yes",F6="Yes",G6="Yes",C6=D6),"Matched","Exception")</f>
        <v/>
      </c>
    </row>
    <row r="7">
      <c r="A7" s="4" t="inlineStr">
        <is>
          <t>PINV-002</t>
        </is>
      </c>
      <c r="B7" s="4" t="inlineStr">
        <is>
          <t>PO-002</t>
        </is>
      </c>
      <c r="C7" s="5" t="n">
        <v>150000</v>
      </c>
      <c r="D7" s="5" t="n">
        <v>150000</v>
      </c>
      <c r="E7" s="4" t="inlineStr">
        <is>
          <t>Yes</t>
        </is>
      </c>
      <c r="F7" s="4" t="inlineStr">
        <is>
          <t>Yes</t>
        </is>
      </c>
      <c r="G7" s="4" t="inlineStr">
        <is>
          <t>Yes</t>
        </is>
      </c>
      <c r="H7" s="4">
        <f>IF(AND(E7="Yes",F7="Yes",G7="Yes",C7=D7),"Matched","Exception")</f>
        <v/>
      </c>
    </row>
    <row r="8">
      <c r="A8" s="4" t="inlineStr">
        <is>
          <t>PINV-003</t>
        </is>
      </c>
      <c r="B8" s="4" t="inlineStr">
        <is>
          <t>PO-003</t>
        </is>
      </c>
      <c r="C8" s="5" t="n">
        <v>15000</v>
      </c>
      <c r="D8" s="5" t="n">
        <v>15000</v>
      </c>
      <c r="E8" s="4" t="inlineStr">
        <is>
          <t>Yes</t>
        </is>
      </c>
      <c r="F8" s="4" t="inlineStr">
        <is>
          <t>Yes</t>
        </is>
      </c>
      <c r="G8" s="4" t="inlineStr">
        <is>
          <t>Yes</t>
        </is>
      </c>
      <c r="H8" s="4">
        <f>IF(AND(E8="Yes",F8="Yes",G8="Yes",C8=D8),"Matched","Exception")</f>
        <v/>
      </c>
    </row>
    <row r="9">
      <c r="A9" s="4" t="inlineStr">
        <is>
          <t>PINV-004</t>
        </is>
      </c>
      <c r="B9" s="4" t="inlineStr">
        <is>
          <t>PO-004</t>
        </is>
      </c>
      <c r="C9" s="5" t="n">
        <v>25000</v>
      </c>
      <c r="D9" s="5" t="n">
        <v>25000</v>
      </c>
      <c r="E9" s="4" t="inlineStr">
        <is>
          <t>Yes</t>
        </is>
      </c>
      <c r="F9" s="4" t="inlineStr">
        <is>
          <t>Yes</t>
        </is>
      </c>
      <c r="G9" s="4" t="inlineStr">
        <is>
          <t>Yes</t>
        </is>
      </c>
      <c r="H9" s="4">
        <f>IF(AND(E9="Yes",F9="Yes",G9="Yes",C9=D9),"Matched","Exception")</f>
        <v/>
      </c>
    </row>
    <row r="10">
      <c r="A10" s="4" t="inlineStr">
        <is>
          <t>PINV-005</t>
        </is>
      </c>
      <c r="B10" s="4" t="inlineStr">
        <is>
          <t>PO-005</t>
        </is>
      </c>
      <c r="C10" s="5" t="n">
        <v>20000</v>
      </c>
      <c r="D10" s="5" t="n">
        <v>20000</v>
      </c>
      <c r="E10" s="4" t="inlineStr">
        <is>
          <t>No</t>
        </is>
      </c>
      <c r="F10" s="4" t="inlineStr">
        <is>
          <t>Yes</t>
        </is>
      </c>
      <c r="G10" s="4" t="inlineStr">
        <is>
          <t>No</t>
        </is>
      </c>
      <c r="H10" s="4">
        <f>IF(AND(E10="Yes",F10="Yes",G10="Yes",C10=D10),"Matched","Exception")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2" customWidth="1" min="3" max="3"/>
    <col width="13" customWidth="1" min="4" max="4"/>
    <col width="18" customWidth="1" min="5" max="5"/>
    <col width="15" customWidth="1" min="6" max="6"/>
  </cols>
  <sheetData>
    <row r="1">
      <c r="A1" s="1" t="inlineStr">
        <is>
          <t>ABC Trading Pvt. Ltd.</t>
        </is>
      </c>
    </row>
    <row r="2">
      <c r="A2" s="2" t="inlineStr">
        <is>
          <t>AP Ageing</t>
        </is>
      </c>
    </row>
    <row r="3">
      <c r="A3" s="3" t="inlineStr">
        <is>
          <t>As at 31 March 2026</t>
        </is>
      </c>
    </row>
    <row r="4"/>
    <row r="5">
      <c r="A5" s="4" t="inlineStr">
        <is>
          <t>Invoice No.</t>
        </is>
      </c>
      <c r="B5" s="4" t="inlineStr">
        <is>
          <t>Vendor</t>
        </is>
      </c>
      <c r="C5" s="4" t="inlineStr">
        <is>
          <t>Due Date</t>
        </is>
      </c>
      <c r="D5" s="4" t="inlineStr">
        <is>
          <t>Outstanding</t>
        </is>
      </c>
      <c r="E5" s="4" t="inlineStr">
        <is>
          <t>Days Outstanding</t>
        </is>
      </c>
      <c r="F5" s="4" t="inlineStr">
        <is>
          <t>Ageing Bucket</t>
        </is>
      </c>
    </row>
    <row r="6">
      <c r="A6" s="4" t="inlineStr">
        <is>
          <t>PINV-002</t>
        </is>
      </c>
      <c r="B6" s="4">
        <f>INDEX('AP Invoice Register'!E6:E10,MATCH(A6,'AP Invoice Register'!A6:A10,0))</f>
        <v/>
      </c>
      <c r="C6" s="4" t="inlineStr">
        <is>
          <t>2026-03-08</t>
        </is>
      </c>
      <c r="D6" s="5" t="n">
        <v>50000</v>
      </c>
      <c r="E6" s="4" t="n">
        <v>23</v>
      </c>
      <c r="F6" s="4" t="inlineStr">
        <is>
          <t>0-30 Days</t>
        </is>
      </c>
    </row>
    <row r="7">
      <c r="A7" s="4" t="inlineStr">
        <is>
          <t>PINV-004</t>
        </is>
      </c>
      <c r="B7" s="4">
        <f>INDEX('AP Invoice Register'!E6:E10,MATCH(A7,'AP Invoice Register'!A6:A10,0))</f>
        <v/>
      </c>
      <c r="C7" s="4" t="inlineStr">
        <is>
          <t>2026-03-27</t>
        </is>
      </c>
      <c r="D7" s="5" t="n">
        <v>25000</v>
      </c>
      <c r="E7" s="4" t="n">
        <v>4</v>
      </c>
      <c r="F7" s="4" t="inlineStr">
        <is>
          <t>0-30 Days</t>
        </is>
      </c>
    </row>
    <row r="8">
      <c r="A8" s="4" t="inlineStr">
        <is>
          <t>PINV-005</t>
        </is>
      </c>
      <c r="B8" s="4">
        <f>INDEX('AP Invoice Register'!E6:E10,MATCH(A8,'AP Invoice Register'!A6:A10,0))</f>
        <v/>
      </c>
      <c r="C8" s="4" t="inlineStr">
        <is>
          <t>2026-04-24</t>
        </is>
      </c>
      <c r="D8" s="5" t="n">
        <v>20000</v>
      </c>
      <c r="E8" s="4" t="n">
        <v>0</v>
      </c>
      <c r="F8" s="4" t="inlineStr">
        <is>
          <t>Not Yet Due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ABC Trading Pvt. Ltd.</t>
        </is>
      </c>
    </row>
    <row r="2">
      <c r="A2" s="2" t="inlineStr">
        <is>
          <t>P2P Dashboard</t>
        </is>
      </c>
    </row>
    <row r="3">
      <c r="A3" s="3" t="inlineStr">
        <is>
          <t>Procurement and payables overview</t>
        </is>
      </c>
    </row>
    <row r="4"/>
    <row r="5">
      <c r="A5" s="4" t="inlineStr">
        <is>
          <t>Metric</t>
        </is>
      </c>
      <c r="B5" s="4" t="inlineStr">
        <is>
          <t>Result</t>
        </is>
      </c>
      <c r="C5" s="4" t="inlineStr">
        <is>
          <t>Category</t>
        </is>
      </c>
    </row>
    <row r="6">
      <c r="A6" s="4" t="inlineStr">
        <is>
          <t>Total PO Value</t>
        </is>
      </c>
      <c r="B6" s="5">
        <f>SUM('Purchase Orders'!H6:H10)</f>
        <v/>
      </c>
      <c r="C6" s="4" t="inlineStr">
        <is>
          <t>Procurement</t>
        </is>
      </c>
    </row>
    <row r="7">
      <c r="A7" s="4" t="inlineStr">
        <is>
          <t>Total AP Invoiced</t>
        </is>
      </c>
      <c r="B7" s="5">
        <f>SUM('AP Invoice Register'!F6:F10)</f>
        <v/>
      </c>
      <c r="C7" s="4" t="inlineStr">
        <is>
          <t>AP</t>
        </is>
      </c>
    </row>
    <row r="8">
      <c r="A8" s="4" t="inlineStr">
        <is>
          <t>Total Paid</t>
        </is>
      </c>
      <c r="B8" s="5">
        <f>SUM('Payment Register'!F6:F8)</f>
        <v/>
      </c>
      <c r="C8" s="4" t="inlineStr">
        <is>
          <t>Payments</t>
        </is>
      </c>
    </row>
    <row r="9">
      <c r="A9" s="4" t="inlineStr">
        <is>
          <t>Outstanding AP</t>
        </is>
      </c>
      <c r="B9" s="5">
        <f>SUM('AP Invoice Register'!I6:I10)</f>
        <v/>
      </c>
      <c r="C9" s="4" t="inlineStr">
        <is>
          <t>AP</t>
        </is>
      </c>
    </row>
    <row r="10">
      <c r="A10" s="4" t="inlineStr">
        <is>
          <t>Matched Invoices</t>
        </is>
      </c>
      <c r="B10" s="4">
        <f>COUNTIF('3-Way Match'!H6:H10,"Matched")</f>
        <v/>
      </c>
      <c r="C10" s="4" t="inlineStr">
        <is>
          <t>Control</t>
        </is>
      </c>
    </row>
    <row r="11">
      <c r="A11" s="4" t="inlineStr">
        <is>
          <t>Exceptions</t>
        </is>
      </c>
      <c r="B11" s="4">
        <f>COUNTIF('3-Way Match'!H6:H10,"Exception")</f>
        <v/>
      </c>
      <c r="C11" s="4" t="inlineStr">
        <is>
          <t>Control</t>
        </is>
      </c>
    </row>
    <row r="12"/>
    <row r="13"/>
    <row r="14">
      <c r="A14" s="6" t="inlineStr">
        <is>
          <t>P2P MANAGEMENT OBSERVATIONS</t>
        </is>
      </c>
    </row>
    <row r="15">
      <c r="A15" t="inlineStr">
        <is>
          <t>Purchase orders establish approved spend before supplier invoices are processed.</t>
        </is>
      </c>
    </row>
    <row r="16">
      <c r="A16" t="inlineStr">
        <is>
          <t>The 3-way match validates purchase order value, receipt confirmation and invoice details.</t>
        </is>
      </c>
    </row>
    <row r="17">
      <c r="A17" t="inlineStr">
        <is>
          <t>Payment records link supplier payments to invoice references for audit traceability.</t>
        </is>
      </c>
    </row>
    <row r="18">
      <c r="A18" t="inlineStr">
        <is>
          <t>AP ageing highlights outstanding supplier balances requiring follow-up.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2026-09-21T10:49:43Z</dcterms:created>
  <dcterms:modified xmlns:dcterms="http://purl.org/dc/terms/" xmlns:xsi="http://www.w3.org/2001/XMLSchema-instance" xsi:type="dcterms:W3CDTF">2026-09-21T10:49:43Z</dcterms:modified>
</cp:coreProperties>
</file>