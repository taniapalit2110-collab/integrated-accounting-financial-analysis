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io Analysis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<sst xmlns="http://schemas.openxmlformats.org/spreadsheetml/2006/main" count="73" uniqueCount="48">
  <si>
    <t>ABC Trading Pvt. Ltd.</t>
  </si>
  <si>
    <t>Financial Ratio Analysis</t>
  </si>
  <si>
    <t>For the Year Ended 31 March 2026</t>
  </si>
  <si>
    <t>FINANCIAL DATA</t>
  </si>
  <si>
    <t>Cash &amp; Bank</t>
  </si>
  <si>
    <t>Accounts Receivable</t>
  </si>
  <si>
    <t>Inventory</t>
  </si>
  <si>
    <t>Current Assets</t>
  </si>
  <si>
    <t>Accounts Payable</t>
  </si>
  <si>
    <t>Current Liabilities</t>
  </si>
  <si>
    <t>Total Debt</t>
  </si>
  <si>
    <t>Equity</t>
  </si>
  <si>
    <t>Sales Revenue</t>
  </si>
  <si>
    <t>Cost of Goods Sold</t>
  </si>
  <si>
    <t>Gross Profit</t>
  </si>
  <si>
    <t>Net Profit</t>
  </si>
  <si>
    <t>LIQUIDITY RATIOS</t>
  </si>
  <si>
    <t>Current Ratio</t>
  </si>
  <si>
    <t>Current assets are 5.90 times current liabilities.</t>
  </si>
  <si>
    <t>Quick Ratio</t>
  </si>
  <si>
    <t>Liquid assets are 4.90 times current liabilities after excluding inventory.</t>
  </si>
  <si>
    <t>Formula result</t>
  </si>
  <si>
    <t>PROFITABILITY RATIOS</t>
  </si>
  <si>
    <t>Gross Profit Margin</t>
  </si>
  <si>
    <t>Net Profit Margin</t>
  </si>
  <si>
    <t>Return on Equity</t>
  </si>
  <si>
    <t>SOLVENCY RATIOS</t>
  </si>
  <si>
    <t>Debt-to-Equity Ratio</t>
  </si>
  <si>
    <t>Debt relative to shareholders' equity</t>
  </si>
  <si>
    <t>EFFICIENCY RATIOS</t>
  </si>
  <si>
    <t>Inventory Turnover Ratio</t>
  </si>
  <si>
    <t>COGS relative to inventory</t>
  </si>
  <si>
    <t>KEY FINANCIAL RATIOS</t>
  </si>
  <si>
    <t>Inventory Turnover</t>
  </si>
  <si>
    <t>Financial Ratio Dashboard</t>
  </si>
  <si>
    <t>Ratio</t>
  </si>
  <si>
    <t>Result</t>
  </si>
  <si>
    <t>Category</t>
  </si>
  <si>
    <t>Liquidity</t>
  </si>
  <si>
    <t>Profitability</t>
  </si>
  <si>
    <t>Solvency</t>
  </si>
  <si>
    <t>Efficiency</t>
  </si>
  <si>
    <t>KEY FINANCIAL INFORMATION</t>
  </si>
  <si>
    <t>FINANCIAL OBSERVATIONS</t>
  </si>
  <si>
    <t>Liquidity ratios indicate the relationship between current assets and current liabilities.</t>
  </si>
  <si>
    <t>Profitability ratios show the relationship between revenue, profit and equity.</t>
  </si>
  <si>
    <t>Debt-to-equity measures the level of debt relative to shareholders' equity.</t>
  </si>
  <si>
    <t>Inventory turnover compares cost of goods sold with the inventory balance.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</si>
</sst>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0" xfId="0" applyFont="1" applyNumberFormat="1"/>
    <xf borderId="0" fillId="0" fontId="1" numFmtId="4" xfId="0" applyFont="1" applyNumberFormat="1"/>
    <xf borderId="0" fillId="0" fontId="1" numFmtId="49" xfId="0" applyFont="1" applyNumberFormat="1"/>
    <xf borderId="0" fillId="0" fontId="1" numFmtId="0" xfId="0" applyAlignment="1" applyFont="1">
      <alignment horizontal="right" readingOrder="0"/>
    </xf>
    <xf borderId="0" fillId="0" fontId="1" numFmtId="49" xfId="0" applyAlignment="1" applyFont="1" applyNumberFormat="1">
      <alignment horizontal="right"/>
    </xf>
    <xf borderId="0" fillId="0" fontId="1" numFmtId="10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Result vs. Ratio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Dashboard!$A$6:$A$12</c:f>
            </c:strRef>
          </c:cat>
          <c:val>
            <c:numRef>
              <c:f>Dashboard!$B$6:$B$12</c:f>
              <c:numCache/>
            </c:numRef>
          </c:val>
        </c:ser>
        <c:axId val="864962118"/>
        <c:axId val="1443350920"/>
      </c:barChart>
      <c:catAx>
        <c:axId val="86496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350920"/>
      </c:catAx>
      <c:valAx>
        <c:axId val="1443350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Result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9621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vs. KEY FINANCIAL INFORMATION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Dashboard!$A$16:$A$22</c:f>
            </c:strRef>
          </c:cat>
          <c:val>
            <c:numRef>
              <c:f>Dashboard!$B$16:$B$22</c:f>
              <c:numCache/>
            </c:numRef>
          </c:val>
        </c:ser>
        <c:axId val="507370776"/>
        <c:axId val="549725137"/>
      </c:barChart>
      <c:catAx>
        <c:axId val="507370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KEY FINANCIAL INFORMATION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725137"/>
      </c:catAx>
      <c:valAx>
        <c:axId val="549725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7370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2</xdr:row>
      <xdr:rowOff>180975</xdr:rowOff>
    </xdr:from>
    <xdr:ext cx="4152900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409575</xdr:colOff>
      <xdr:row>15</xdr:row>
      <xdr:rowOff>142875</xdr:rowOff>
    </xdr:from>
    <xdr:ext cx="4829175" cy="2600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6.5"/>
    <col customWidth="1" min="3" max="3" width="41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/>
    </row>
    <row r="5">
      <c r="A5" s="1" t="s">
        <v>3</v>
      </c>
    </row>
    <row r="6">
      <c r="A6" s="1" t="s">
        <v>4</v>
      </c>
      <c r="B6" s="1">
        <v>490000.0</v>
      </c>
    </row>
    <row r="7">
      <c r="A7" s="1" t="s">
        <v>5</v>
      </c>
      <c r="B7" s="1">
        <v>0.0</v>
      </c>
    </row>
    <row r="8">
      <c r="A8" s="1" t="s">
        <v>6</v>
      </c>
      <c r="B8" s="1">
        <v>100000.0</v>
      </c>
    </row>
    <row r="9">
      <c r="A9" s="1" t="s">
        <v>7</v>
      </c>
      <c r="B9" s="3">
        <f>SUM(B6:B8)</f>
        <v>590000</v>
      </c>
    </row>
    <row r="10">
      <c r="A10" s="1" t="s">
        <v>8</v>
      </c>
      <c r="B10" s="1">
        <v>100000.0</v>
      </c>
    </row>
    <row r="11">
      <c r="A11" s="1" t="s">
        <v>9</v>
      </c>
      <c r="B11" s="3">
        <f>B10</f>
        <v>100000</v>
      </c>
    </row>
    <row r="12">
      <c r="A12" s="1" t="s">
        <v>10</v>
      </c>
      <c r="B12" s="1">
        <v>100000.0</v>
      </c>
    </row>
    <row r="13">
      <c r="A13" s="1" t="s">
        <v>11</v>
      </c>
      <c r="B13" s="1">
        <v>500000.0</v>
      </c>
    </row>
    <row r="14">
      <c r="A14" s="1" t="s">
        <v>12</v>
      </c>
      <c r="B14" s="1">
        <v>75000.0</v>
      </c>
    </row>
    <row r="15">
      <c r="A15" s="1" t="s">
        <v>13</v>
      </c>
      <c r="B15" s="1">
        <v>40000.0</v>
      </c>
    </row>
    <row r="16">
      <c r="A16" s="1" t="s">
        <v>14</v>
      </c>
      <c r="B16" s="3">
        <f>B14-B15</f>
        <v>35000</v>
      </c>
    </row>
    <row r="17">
      <c r="A17" s="1" t="s">
        <v>15</v>
      </c>
      <c r="B17" s="3">
        <f>B16-10000</f>
        <v>25000</v>
      </c>
    </row>
    <row r="19">
      <c r="A19" s="1" t="s">
        <v>16</v>
      </c>
    </row>
    <row r="20">
      <c r="A20" s="1" t="s">
        <v>17</v>
      </c>
      <c r="B20" s="3">
        <f>B9/B11</f>
        <v>5.9</v>
      </c>
      <c r="C20" s="1" t="s">
        <v>18</v>
      </c>
    </row>
    <row r="21">
      <c r="A21" s="1" t="s">
        <v>19</v>
      </c>
      <c r="B21" s="3">
        <f>(B9-B8)/B11</f>
        <v>4.9</v>
      </c>
      <c r="C21" s="1" t="s">
        <v>20</v>
      </c>
    </row>
    <row r="22">
      <c r="A22" s="1" t="s">
        <v>21</v>
      </c>
    </row>
    <row r="23">
      <c r="A23" s="4" t="s">
        <v>22</v>
      </c>
    </row>
    <row r="24">
      <c r="A24" s="1" t="s">
        <v>23</v>
      </c>
      <c r="B24" s="5">
        <f>B16/B14</f>
        <v>0.4666666667</v>
      </c>
    </row>
    <row r="25">
      <c r="A25" s="1" t="s">
        <v>24</v>
      </c>
      <c r="B25" s="5">
        <f>B17/B14</f>
        <v>0.3333333333</v>
      </c>
    </row>
    <row r="26">
      <c r="A26" s="1" t="s">
        <v>25</v>
      </c>
      <c r="B26" s="5">
        <f>B17/B13</f>
        <v>0.05</v>
      </c>
      <c r="C26" s="6"/>
    </row>
    <row r="28">
      <c r="A28" s="4" t="s">
        <v>26</v>
      </c>
    </row>
    <row r="29">
      <c r="A29" s="1" t="s">
        <v>27</v>
      </c>
      <c r="B29" s="1">
        <v>0.2</v>
      </c>
      <c r="C29" s="1" t="s">
        <v>28</v>
      </c>
    </row>
    <row r="31">
      <c r="A31" s="4" t="s">
        <v>29</v>
      </c>
    </row>
    <row r="32">
      <c r="A32" s="4" t="s">
        <v>30</v>
      </c>
      <c r="B32" s="7">
        <f>B15/B8</f>
        <v>0.4</v>
      </c>
      <c r="C32" s="1" t="s">
        <v>31</v>
      </c>
    </row>
    <row r="35">
      <c r="A35" s="4" t="s">
        <v>32</v>
      </c>
    </row>
    <row r="36">
      <c r="A36" s="1" t="s">
        <v>17</v>
      </c>
      <c r="B36" s="3">
        <f t="shared" ref="B36:B37" si="1">B20</f>
        <v>5.9</v>
      </c>
    </row>
    <row r="37">
      <c r="A37" s="1" t="s">
        <v>19</v>
      </c>
      <c r="B37" s="8">
        <f t="shared" si="1"/>
        <v>4.9</v>
      </c>
    </row>
    <row r="38">
      <c r="A38" s="1" t="s">
        <v>23</v>
      </c>
      <c r="B38" s="9">
        <f t="shared" ref="B38:B40" si="2">B24</f>
        <v>0.4666666667</v>
      </c>
    </row>
    <row r="39">
      <c r="A39" s="1" t="s">
        <v>24</v>
      </c>
      <c r="B39" s="10">
        <f t="shared" si="2"/>
        <v>0.3333333333</v>
      </c>
    </row>
    <row r="40">
      <c r="A40" s="1" t="s">
        <v>25</v>
      </c>
      <c r="B40" s="10">
        <f t="shared" si="2"/>
        <v>0.05</v>
      </c>
    </row>
    <row r="41">
      <c r="A41" s="1" t="s">
        <v>27</v>
      </c>
      <c r="B41" s="11">
        <f>B29</f>
        <v>0.2</v>
      </c>
    </row>
    <row r="42">
      <c r="A42" s="1" t="s">
        <v>33</v>
      </c>
      <c r="B42" s="9">
        <f>B32</f>
        <v>0.4</v>
      </c>
    </row>
    <row r="43">
      <c r="B43" s="11"/>
    </row>
    <row r="44">
      <c r="B44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19.75"/>
    <col customWidth="1" min="3" max="26" width="13.38"/>
  </cols>
  <sheetData>
    <row r="1">
      <c r="A1" s="1" t="s">
        <v>0</v>
      </c>
    </row>
    <row r="2">
      <c r="A2" s="1" t="s">
        <v>34</v>
      </c>
    </row>
    <row r="3">
      <c r="A3" s="1" t="s">
        <v>2</v>
      </c>
    </row>
    <row r="4">
      <c r="A4" s="2"/>
      <c r="B4" s="12"/>
      <c r="C4" s="2"/>
    </row>
    <row r="5">
      <c r="A5" s="4" t="s">
        <v>35</v>
      </c>
      <c r="B5" s="12" t="s">
        <v>36</v>
      </c>
      <c r="C5" s="4" t="s">
        <v>37</v>
      </c>
    </row>
    <row r="6">
      <c r="A6" s="1" t="s">
        <v>17</v>
      </c>
      <c r="B6" s="11">
        <f>'Ratio Analysis'!B20</f>
        <v>5.9</v>
      </c>
      <c r="C6" s="1" t="s">
        <v>38</v>
      </c>
    </row>
    <row r="7">
      <c r="A7" s="1" t="s">
        <v>19</v>
      </c>
      <c r="B7" s="11">
        <f>'Ratio Analysis'!B21</f>
        <v>4.9</v>
      </c>
      <c r="C7" s="1" t="s">
        <v>38</v>
      </c>
    </row>
    <row r="8">
      <c r="A8" s="1" t="s">
        <v>23</v>
      </c>
      <c r="B8" s="11" t="str">
        <f>'Ratio Analysis'!B22</f>
        <v/>
      </c>
      <c r="C8" s="1" t="s">
        <v>39</v>
      </c>
    </row>
    <row r="9">
      <c r="A9" s="1" t="s">
        <v>24</v>
      </c>
      <c r="B9" s="11" t="str">
        <f>'Ratio Analysis'!B23</f>
        <v/>
      </c>
      <c r="C9" s="1" t="s">
        <v>39</v>
      </c>
    </row>
    <row r="10">
      <c r="A10" s="1" t="s">
        <v>25</v>
      </c>
      <c r="B10" s="10">
        <f>'Ratio Analysis'!B24</f>
        <v>0.4666666667</v>
      </c>
      <c r="C10" s="1" t="s">
        <v>39</v>
      </c>
    </row>
    <row r="11">
      <c r="A11" s="1" t="s">
        <v>27</v>
      </c>
      <c r="B11" s="10">
        <f>'Ratio Analysis'!B25</f>
        <v>0.3333333333</v>
      </c>
      <c r="C11" s="1" t="s">
        <v>40</v>
      </c>
    </row>
    <row r="12">
      <c r="A12" s="1" t="s">
        <v>33</v>
      </c>
      <c r="B12" s="10">
        <f>'Ratio Analysis'!B26</f>
        <v>0.05</v>
      </c>
      <c r="C12" s="1" t="s">
        <v>41</v>
      </c>
    </row>
    <row r="15">
      <c r="A15" s="1" t="s">
        <v>42</v>
      </c>
    </row>
    <row r="16">
      <c r="A16" s="1" t="s">
        <v>12</v>
      </c>
      <c r="B16" s="12">
        <f>'Ratio Analysis'!B14</f>
        <v>75000</v>
      </c>
    </row>
    <row r="17">
      <c r="A17" s="1" t="s">
        <v>14</v>
      </c>
      <c r="B17" s="11">
        <f>'Ratio Analysis'!B16</f>
        <v>35000</v>
      </c>
    </row>
    <row r="18">
      <c r="A18" s="1" t="s">
        <v>15</v>
      </c>
      <c r="B18" s="11">
        <f>'Ratio Analysis'!B17</f>
        <v>25000</v>
      </c>
    </row>
    <row r="19">
      <c r="A19" s="1" t="s">
        <v>7</v>
      </c>
      <c r="B19" s="11">
        <f>'Ratio Analysis'!B9</f>
        <v>590000</v>
      </c>
    </row>
    <row r="20">
      <c r="A20" s="1" t="s">
        <v>9</v>
      </c>
      <c r="B20" s="11">
        <f>'Ratio Analysis'!B11</f>
        <v>100000</v>
      </c>
    </row>
    <row r="21">
      <c r="A21" s="1" t="s">
        <v>10</v>
      </c>
      <c r="B21" s="11">
        <f>'Ratio Analysis'!B12</f>
        <v>100000</v>
      </c>
    </row>
    <row r="22">
      <c r="A22" s="1" t="s">
        <v>11</v>
      </c>
      <c r="B22" s="11">
        <f>'Ratio Analysis'!B13</f>
        <v>500000</v>
      </c>
    </row>
    <row r="23">
      <c r="B23" s="11"/>
    </row>
    <row r="25">
      <c r="A25" s="4" t="s">
        <v>43</v>
      </c>
    </row>
    <row r="26">
      <c r="A26" s="1" t="s">
        <v>44</v>
      </c>
    </row>
    <row r="27">
      <c r="A27" s="1" t="s">
        <v>45</v>
      </c>
    </row>
    <row r="28">
      <c r="A28" s="1" t="s">
        <v>46</v>
      </c>
    </row>
    <row r="29">
      <c r="A29" s="1" t="s">
        <v>47</v>
      </c>
    </row>
  </sheetData>
  <drawing r:id="rId1"/>
</worksheet>
</file>