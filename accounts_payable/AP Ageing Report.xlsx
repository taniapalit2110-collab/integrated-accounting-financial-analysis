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 ageing sheet" sheetId="1" r:id="rId5"/>
    <sheet state="visible" name="SOURCE DATA" sheetId="2" r:id="rId6"/>
  </sheets>
  <definedNames/>
  <calcPr/>
</workbook>
</file>

<file path=xl/sharedStrings.xml><?xml version="1.0" encoding="utf-8"?>
<sst xmlns="http://schemas.openxmlformats.org/spreadsheetml/2006/main" count="25" uniqueCount="24">
  <si>
    <t>ABC Trading Pvt. Ltd.</t>
  </si>
  <si>
    <t>Invoice Number</t>
  </si>
  <si>
    <t>Accounts Payable Ageing Report</t>
  </si>
  <si>
    <t>Vendor Name</t>
  </si>
  <si>
    <t>As at 31 March 2026</t>
  </si>
  <si>
    <t>Days Outstanding</t>
  </si>
  <si>
    <t>Ageing Category</t>
  </si>
  <si>
    <t>Outstanding Amount</t>
  </si>
  <si>
    <t>% of Total</t>
  </si>
  <si>
    <t>Current / 0–30 Days</t>
  </si>
  <si>
    <t>INV-001</t>
  </si>
  <si>
    <t>ABC Suppliers</t>
  </si>
  <si>
    <t>INV-002</t>
  </si>
  <si>
    <t>XYZ Distributors</t>
  </si>
  <si>
    <t>INV-003</t>
  </si>
  <si>
    <t>Office World</t>
  </si>
  <si>
    <t>INV-004</t>
  </si>
  <si>
    <t>Prime Logistics</t>
  </si>
  <si>
    <t>INV-005</t>
  </si>
  <si>
    <t>Tech Solutions</t>
  </si>
  <si>
    <t>31–60 Days</t>
  </si>
  <si>
    <t>61–90 Days</t>
  </si>
  <si>
    <t>90+ Days</t>
  </si>
  <si>
    <t>TOTAL OUTSTANDING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</si>
</sst>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right" readingOrder="0"/>
    </xf>
    <xf borderId="0" fillId="0" fontId="2" numFmtId="0" xfId="0" applyFon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6.25"/>
    <col customWidth="1" min="3" max="3" width="8.38"/>
  </cols>
  <sheetData>
    <row r="1">
      <c r="A1" s="1" t="s">
        <v>0</v>
      </c>
    </row>
    <row r="2">
      <c r="A2" s="1" t="s">
        <v>2</v>
      </c>
    </row>
    <row r="3">
      <c r="A3" s="1" t="s">
        <v>4</v>
      </c>
    </row>
    <row r="5">
      <c r="A5" s="2" t="s">
        <v>6</v>
      </c>
      <c r="B5" s="2" t="s">
        <v>7</v>
      </c>
      <c r="C5" s="2" t="s">
        <v>8</v>
      </c>
    </row>
    <row r="6">
      <c r="A6" s="2" t="s">
        <v>9</v>
      </c>
      <c r="B6" s="4">
        <f>SUMIFS('SOURCE DATA'!D2:D6,'SOURCE DATA'!C2:C6,"&gt;=0",'SOURCE DATA'!C2:C6,"&lt;=30",'SOURCE DATA'!D2:D6,"&gt;0")</f>
        <v>0</v>
      </c>
      <c r="C6" s="4">
        <f t="shared" ref="C6:C9" si="1">IF($B$10=0,0,B6/$B$10)</f>
        <v>0</v>
      </c>
    </row>
    <row r="7">
      <c r="A7" s="2" t="s">
        <v>20</v>
      </c>
      <c r="B7" s="4">
        <f>SUMIFS('SOURCE DATA'!D2:D6,'SOURCE DATA'!C2:C6,"&gt;30",'SOURCE DATA'!C2:C6,"&lt;=60",'SOURCE DATA'!D2:D6,"&gt;0")</f>
        <v>0</v>
      </c>
      <c r="C7" s="4">
        <f t="shared" si="1"/>
        <v>0</v>
      </c>
    </row>
    <row r="8">
      <c r="A8" s="2" t="s">
        <v>21</v>
      </c>
      <c r="B8" s="4">
        <f>SUMIFS('SOURCE DATA'!D2:D6,'SOURCE DATA'!C2:C6,"&gt;60",'SOURCE DATA'!C2:C6,"&lt;=90",'SOURCE DATA'!D2:D6,"&gt;0")</f>
        <v>0</v>
      </c>
      <c r="C8" s="4">
        <f t="shared" si="1"/>
        <v>0</v>
      </c>
    </row>
    <row r="9">
      <c r="A9" s="2" t="s">
        <v>22</v>
      </c>
      <c r="B9" s="4">
        <f>SUMIFS('SOURCE DATA'!D2:D6,'SOURCE DATA'!C2:C6,"&gt;90",'SOURCE DATA'!D2:D6,"&gt;0")</f>
        <v>155000</v>
      </c>
      <c r="C9" s="4">
        <f t="shared" si="1"/>
        <v>1</v>
      </c>
    </row>
    <row r="10">
      <c r="A10" s="2" t="s">
        <v>23</v>
      </c>
      <c r="B10" s="4">
        <f t="shared" ref="B10:C10" si="2">SUM(B6:B9)</f>
        <v>155000</v>
      </c>
      <c r="C10" s="5">
        <f t="shared" si="2"/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3" t="s">
        <v>5</v>
      </c>
      <c r="D1" s="3" t="s">
        <v>7</v>
      </c>
    </row>
    <row r="2">
      <c r="A2" s="1" t="s">
        <v>10</v>
      </c>
      <c r="B2" s="1" t="s">
        <v>11</v>
      </c>
      <c r="C2" s="3">
        <v>334.0</v>
      </c>
      <c r="D2" s="3">
        <v>20000.0</v>
      </c>
    </row>
    <row r="3">
      <c r="A3" s="1" t="s">
        <v>12</v>
      </c>
      <c r="B3" s="1" t="s">
        <v>13</v>
      </c>
      <c r="C3" s="3">
        <v>315.0</v>
      </c>
      <c r="D3" s="3">
        <v>75000.0</v>
      </c>
    </row>
    <row r="4">
      <c r="A4" s="1" t="s">
        <v>14</v>
      </c>
      <c r="B4" s="1" t="s">
        <v>15</v>
      </c>
      <c r="C4" s="3">
        <v>0.0</v>
      </c>
      <c r="D4" s="3">
        <v>0.0</v>
      </c>
    </row>
    <row r="5">
      <c r="A5" s="1" t="s">
        <v>16</v>
      </c>
      <c r="B5" s="1" t="s">
        <v>17</v>
      </c>
      <c r="C5" s="3">
        <v>335.0</v>
      </c>
      <c r="D5" s="3">
        <v>20000.0</v>
      </c>
    </row>
    <row r="6">
      <c r="A6" s="1" t="s">
        <v>18</v>
      </c>
      <c r="B6" s="1" t="s">
        <v>19</v>
      </c>
      <c r="C6" s="3">
        <v>315.0</v>
      </c>
      <c r="D6" s="3">
        <v>40000.0</v>
      </c>
    </row>
  </sheetData>
  <drawing r:id="rId1"/>
</worksheet>
</file>