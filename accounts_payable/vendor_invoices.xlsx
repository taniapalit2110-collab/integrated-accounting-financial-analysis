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<sst xmlns="http://schemas.openxmlformats.org/spreadsheetml/2006/main" count="26" uniqueCount="26">
  <si>
    <t>Vendor ID</t>
  </si>
  <si>
    <t>Vendor Name</t>
  </si>
  <si>
    <t>Invoice Number</t>
  </si>
  <si>
    <t>Invoice Date</t>
  </si>
  <si>
    <t>Due Date</t>
  </si>
  <si>
    <t>Invoice Amount</t>
  </si>
  <si>
    <t>Amount Paid</t>
  </si>
  <si>
    <t>Outstanding Amount</t>
  </si>
  <si>
    <t>Payment Status</t>
  </si>
  <si>
    <t>Days Outstanding</t>
  </si>
  <si>
    <t>V001</t>
  </si>
  <si>
    <t>ABC Suppliers</t>
  </si>
  <si>
    <t>INV-001</t>
  </si>
  <si>
    <t>V002</t>
  </si>
  <si>
    <t>XYZ Distributors</t>
  </si>
  <si>
    <t>INV-002</t>
  </si>
  <si>
    <t>V003</t>
  </si>
  <si>
    <t>Office World</t>
  </si>
  <si>
    <t>INV-003</t>
  </si>
  <si>
    <t>V004</t>
  </si>
  <si>
    <t>Prime Logistics</t>
  </si>
  <si>
    <t>INV-004</t>
  </si>
  <si>
    <t>V005</t>
  </si>
  <si>
    <t>Tech Solutions</t>
  </si>
  <si>
    <t>INV-005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</si>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</sst>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-mmm-yy"/>
    <numFmt numFmtId="165" formatCode="dd-mmmm-yy"/>
    <numFmt numFmtId="166" formatCode="d-mmmm-yy"/>
    <numFmt numFmtId="167" formatCode="d-mmm-yy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0" fontId="2" numFmtId="0" xfId="0" applyBorder="1" applyFont="1"/>
    <xf borderId="1" fillId="0" fontId="2" numFmtId="0" xfId="0" applyAlignment="1" applyBorder="1" applyFont="1">
      <alignment readingOrder="0"/>
    </xf>
    <xf borderId="1" fillId="0" fontId="2" numFmtId="164" xfId="0" applyAlignment="1" applyBorder="1" applyFont="1" applyNumberFormat="1">
      <alignment readingOrder="0"/>
    </xf>
    <xf borderId="1" fillId="0" fontId="2" numFmtId="165" xfId="0" applyAlignment="1" applyBorder="1" applyFont="1" applyNumberFormat="1">
      <alignment readingOrder="0"/>
    </xf>
    <xf borderId="1" fillId="0" fontId="2" numFmtId="3" xfId="0" applyAlignment="1" applyBorder="1" applyFont="1" applyNumberFormat="1">
      <alignment readingOrder="0"/>
    </xf>
    <xf borderId="1" fillId="0" fontId="2" numFmtId="3" xfId="0" applyBorder="1" applyFont="1" applyNumberFormat="1"/>
    <xf borderId="1" fillId="0" fontId="2" numFmtId="166" xfId="0" applyAlignment="1" applyBorder="1" applyFont="1" applyNumberFormat="1">
      <alignment readingOrder="0"/>
    </xf>
    <xf borderId="1" fillId="0" fontId="2" numFmtId="167" xfId="0" applyAlignment="1" applyBorder="1" applyFont="1" applyNumberFormat="1">
      <alignment readingOrder="0"/>
    </xf>
    <xf borderId="1" fillId="0" fontId="1" numFmtId="0" xfId="0" applyAlignment="1" applyBorder="1" applyFont="1">
      <alignment readingOrder="0"/>
    </xf>
    <xf borderId="1" fillId="0" fontId="1" numFmtId="0" xfId="0" applyBorder="1" applyFont="1"/>
    <xf borderId="1" fillId="0" fontId="1" numFmtId="3" xfId="0" applyBorder="1" applyFont="1" applyNumberFormat="1"/>
    <xf borderId="1" fillId="0" fontId="1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6" width="13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10</v>
      </c>
      <c r="B2" s="3" t="s">
        <v>11</v>
      </c>
      <c r="C2" s="3" t="s">
        <v>12</v>
      </c>
      <c r="D2" s="4">
        <v>45748.0</v>
      </c>
      <c r="E2" s="5">
        <v>45778.0</v>
      </c>
      <c r="F2" s="6">
        <v>50000.0</v>
      </c>
      <c r="G2" s="6">
        <v>30000.0</v>
      </c>
      <c r="H2" s="7">
        <f t="shared" ref="H2:H6" si="1">F2-G2</f>
        <v>20000</v>
      </c>
      <c r="I2" s="2" t="str">
        <f t="shared" ref="I2:I6" si="2">IF(H2=0,"Paid",IF(G2=0,"Unpaid","Partially Paid"))</f>
        <v>Partially Paid</v>
      </c>
      <c r="J2" s="2">
        <f t="shared" ref="J2:J6" si="3">IF(H2=0,0,MAX(0,DATE(2026,3,31)-E2))</f>
        <v>334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13</v>
      </c>
      <c r="B3" s="3" t="s">
        <v>14</v>
      </c>
      <c r="C3" s="3" t="s">
        <v>15</v>
      </c>
      <c r="D3" s="4">
        <v>45752.0</v>
      </c>
      <c r="E3" s="8">
        <v>45797.0</v>
      </c>
      <c r="F3" s="6">
        <v>75000.0</v>
      </c>
      <c r="G3" s="3">
        <v>0.0</v>
      </c>
      <c r="H3" s="7">
        <f t="shared" si="1"/>
        <v>75000</v>
      </c>
      <c r="I3" s="2" t="str">
        <f t="shared" si="2"/>
        <v>Unpaid</v>
      </c>
      <c r="J3" s="2">
        <f t="shared" si="3"/>
        <v>315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16</v>
      </c>
      <c r="B4" s="3" t="s">
        <v>17</v>
      </c>
      <c r="C4" s="3" t="s">
        <v>18</v>
      </c>
      <c r="D4" s="9">
        <v>45757.0</v>
      </c>
      <c r="E4" s="8">
        <v>45787.0</v>
      </c>
      <c r="F4" s="6">
        <v>25000.0</v>
      </c>
      <c r="G4" s="6">
        <v>25000.0</v>
      </c>
      <c r="H4" s="7">
        <f t="shared" si="1"/>
        <v>0</v>
      </c>
      <c r="I4" s="2" t="str">
        <f t="shared" si="2"/>
        <v>Paid</v>
      </c>
      <c r="J4" s="2">
        <f t="shared" si="3"/>
        <v>0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19</v>
      </c>
      <c r="B5" s="3" t="s">
        <v>20</v>
      </c>
      <c r="C5" s="3" t="s">
        <v>21</v>
      </c>
      <c r="D5" s="9">
        <v>45762.0</v>
      </c>
      <c r="E5" s="9">
        <v>45777.0</v>
      </c>
      <c r="F5" s="6">
        <v>30000.0</v>
      </c>
      <c r="G5" s="6">
        <v>10000.0</v>
      </c>
      <c r="H5" s="7">
        <f t="shared" si="1"/>
        <v>20000</v>
      </c>
      <c r="I5" s="2" t="str">
        <f t="shared" si="2"/>
        <v>Partially Paid</v>
      </c>
      <c r="J5" s="2">
        <f t="shared" si="3"/>
        <v>335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22</v>
      </c>
      <c r="B6" s="3" t="s">
        <v>23</v>
      </c>
      <c r="C6" s="3" t="s">
        <v>24</v>
      </c>
      <c r="D6" s="9">
        <v>45767.0</v>
      </c>
      <c r="E6" s="8">
        <v>45797.0</v>
      </c>
      <c r="F6" s="6">
        <v>40000.0</v>
      </c>
      <c r="G6" s="3">
        <v>0.0</v>
      </c>
      <c r="H6" s="7">
        <f t="shared" si="1"/>
        <v>40000</v>
      </c>
      <c r="I6" s="2" t="str">
        <f t="shared" si="2"/>
        <v>Unpaid</v>
      </c>
      <c r="J6" s="2">
        <f t="shared" si="3"/>
        <v>315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0" t="s">
        <v>25</v>
      </c>
      <c r="B8" s="11"/>
      <c r="C8" s="11"/>
      <c r="D8" s="11"/>
      <c r="E8" s="11"/>
      <c r="F8" s="12">
        <f t="shared" ref="F8:H8" si="4">SUM(F2:F6)</f>
        <v>220000</v>
      </c>
      <c r="G8" s="12">
        <f t="shared" si="4"/>
        <v>65000</v>
      </c>
      <c r="H8" s="12">
        <f t="shared" si="4"/>
        <v>155000</v>
      </c>
      <c r="I8" s="11"/>
      <c r="J8" s="11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13"/>
      <c r="I11" s="13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